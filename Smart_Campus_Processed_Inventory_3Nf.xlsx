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45e7532cc640c1" /></Relationships>
</file>

<file path=xl/workbook.xml><?xml version="1.0" encoding="utf-8"?>
<x:workbook xmlns:x="http://schemas.openxmlformats.org/spreadsheetml/2006/main">
  <x:sheets>
    <x:sheet xmlns:r="http://schemas.openxmlformats.org/officeDocument/2006/relationships" name="README" sheetId="1" r:id="R670aede9794b45f4"/>
    <x:sheet xmlns:r="http://schemas.openxmlformats.org/officeDocument/2006/relationships" name="Dashboard" sheetId="2" r:id="R9866af3026d84196"/>
    <x:sheet xmlns:r="http://schemas.openxmlformats.org/officeDocument/2006/relationships" name="Lab_Master" sheetId="3" r:id="R5994f4dd4eea4a40"/>
    <x:sheet xmlns:r="http://schemas.openxmlformats.org/officeDocument/2006/relationships" name="Raw_Inventory" sheetId="4" r:id="R8d22de27c9564b92"/>
    <x:sheet xmlns:r="http://schemas.openxmlformats.org/officeDocument/2006/relationships" name="Suppliers" sheetId="5" r:id="Re09d0999debb4f3a"/>
    <x:sheet xmlns:r="http://schemas.openxmlformats.org/officeDocument/2006/relationships" name="Categories" sheetId="6" r:id="R819cf9834ce04c96"/>
    <x:sheet xmlns:r="http://schemas.openxmlformats.org/officeDocument/2006/relationships" name="Equipment_Models" sheetId="7" r:id="R8d6710added6427d"/>
    <x:sheet xmlns:r="http://schemas.openxmlformats.org/officeDocument/2006/relationships" name="Purchase_Batches" sheetId="8" r:id="Rc047a02871e14c6c"/>
    <x:sheet xmlns:r="http://schemas.openxmlformats.org/officeDocument/2006/relationships" name="Asset_Events" sheetId="9" r:id="Rf3f9e1a546f14ac9"/>
    <x:sheet xmlns:r="http://schemas.openxmlformats.org/officeDocument/2006/relationships" name="Extracted_Serials" sheetId="10" r:id="Raf728196c8724ba8"/>
    <x:sheet xmlns:r="http://schemas.openxmlformats.org/officeDocument/2006/relationships" name="Computers" sheetId="11" r:id="R8840356ef1644f48"/>
    <x:sheet xmlns:r="http://schemas.openxmlformats.org/officeDocument/2006/relationships" name="Laptops" sheetId="12" r:id="R0bf499e1018743a5"/>
    <x:sheet xmlns:r="http://schemas.openxmlformats.org/officeDocument/2006/relationships" name="Printers" sheetId="13" r:id="R44dcd1b16eb646d5"/>
    <x:sheet xmlns:r="http://schemas.openxmlformats.org/officeDocument/2006/relationships" name="UPS_Data" sheetId="14" r:id="Rf10ab578eb6d4398"/>
    <x:sheet xmlns:r="http://schemas.openxmlformats.org/officeDocument/2006/relationships" name="Batteries" sheetId="15" r:id="Rb1b4c849667741e9"/>
    <x:sheet xmlns:r="http://schemas.openxmlformats.org/officeDocument/2006/relationships" name="Projectors" sheetId="16" r:id="Rfe61727087c849f0"/>
    <x:sheet xmlns:r="http://schemas.openxmlformats.org/officeDocument/2006/relationships" name="Interactive_Panels" sheetId="17" r:id="Rc572fd778da74b48"/>
    <x:sheet xmlns:r="http://schemas.openxmlformats.org/officeDocument/2006/relationships" name="Spec_Computers" sheetId="18" r:id="R1a1a271c0a194328"/>
    <x:sheet xmlns:r="http://schemas.openxmlformats.org/officeDocument/2006/relationships" name="Spec_Laptops" sheetId="19" r:id="R5b800012bed04fd9"/>
    <x:sheet xmlns:r="http://schemas.openxmlformats.org/officeDocument/2006/relationships" name="Spec_Printers" sheetId="20" r:id="Re8ba34711e714583"/>
    <x:sheet xmlns:r="http://schemas.openxmlformats.org/officeDocument/2006/relationships" name="Spec_UPS" sheetId="21" r:id="R9615631798df4340"/>
    <x:sheet xmlns:r="http://schemas.openxmlformats.org/officeDocument/2006/relationships" name="Spec_Batteries" sheetId="22" r:id="Rfbcf6de3477d456c"/>
    <x:sheet xmlns:r="http://schemas.openxmlformats.org/officeDocument/2006/relationships" name="Spec_Projectors" sheetId="23" r:id="R45c0d0b786eb4c13"/>
    <x:sheet xmlns:r="http://schemas.openxmlformats.org/officeDocument/2006/relationships" name="Spec_Panels" sheetId="24" r:id="R36a8f6978fd046da"/>
    <x:sheet xmlns:r="http://schemas.openxmlformats.org/officeDocument/2006/relationships" name="DB_Tables_Keys" sheetId="25" r:id="R5c0ca45daa644712"/>
    <x:sheet xmlns:r="http://schemas.openxmlformats.org/officeDocument/2006/relationships" name="Relationships" sheetId="26" r:id="R87dfd9e8c65a4fb6"/>
    <x:sheet xmlns:r="http://schemas.openxmlformats.org/officeDocument/2006/relationships" name="Normalization_1NF_3NF" sheetId="27" r:id="Rd7dd5c74ec6246df"/>
    <x:sheet xmlns:r="http://schemas.openxmlformats.org/officeDocument/2006/relationships" name="Architecture_Notes" sheetId="28" r:id="Ra8c5eec1441348a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dd-mmm-yyyy"/>
  </x:numFmts>
  <x:fonts count="4">
    <x:font>
      <x:sz val="11"/>
      <x:name val="Carlito"/>
    </x:font>
    <x:font>
      <x:b/>
      <x:sz val="16"/>
      <x:color rgb="FFFFFFFF"/>
      <x:name val="Carlito"/>
    </x:font>
    <x:font>
      <x:b/>
      <x:sz val="11"/>
      <x:color rgb="FFFFFFFF"/>
      <x:name val="Carlito"/>
    </x:font>
    <x:font>
      <x:i/>
      <x:sz val="11"/>
      <x:color rgb="FF666666"/>
      <x:name val="Carlito"/>
    </x:font>
  </x:fonts>
  <x:fills count="4">
    <x:fill>
      <x:patternFill patternType="none"/>
    </x:fill>
    <x:fill>
      <x:patternFill patternType="gray125"/>
    </x:fill>
    <x:fill>
      <x:patternFill patternType="solid">
        <x:fgColor rgb="FF17365D"/>
      </x:patternFill>
    </x:fill>
    <x:fill>
      <x:patternFill patternType="solid">
        <x:fgColor rgb="FF1F4E78"/>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34d886eb9f42be" /><Relationship Type="http://schemas.openxmlformats.org/officeDocument/2006/relationships/theme" Target="/xl/theme/theme1.xml" Id="Rd090946744d246fd" /><Relationship Type="http://schemas.openxmlformats.org/officeDocument/2006/relationships/sharedStrings" Target="/xl/sharedStrings.xml" Id="Rb66a6fc875554fe2" /><Relationship Type="http://schemas.openxmlformats.org/officeDocument/2006/relationships/worksheet" Target="/xl/worksheets/sheet1.xml" Id="R670aede9794b45f4" /><Relationship Type="http://schemas.openxmlformats.org/officeDocument/2006/relationships/worksheet" Target="/xl/worksheets/sheet2.xml" Id="R9866af3026d84196" /><Relationship Type="http://schemas.openxmlformats.org/officeDocument/2006/relationships/worksheet" Target="/xl/worksheets/sheet3.xml" Id="R5994f4dd4eea4a40" /><Relationship Type="http://schemas.openxmlformats.org/officeDocument/2006/relationships/worksheet" Target="/xl/worksheets/sheet4.xml" Id="R8d22de27c9564b92" /><Relationship Type="http://schemas.openxmlformats.org/officeDocument/2006/relationships/worksheet" Target="/xl/worksheets/sheet5.xml" Id="Re09d0999debb4f3a" /><Relationship Type="http://schemas.openxmlformats.org/officeDocument/2006/relationships/worksheet" Target="/xl/worksheets/sheet6.xml" Id="R819cf9834ce04c96" /><Relationship Type="http://schemas.openxmlformats.org/officeDocument/2006/relationships/worksheet" Target="/xl/worksheets/sheet7.xml" Id="R8d6710added6427d" /><Relationship Type="http://schemas.openxmlformats.org/officeDocument/2006/relationships/worksheet" Target="/xl/worksheets/sheet8.xml" Id="Rc047a02871e14c6c" /><Relationship Type="http://schemas.openxmlformats.org/officeDocument/2006/relationships/worksheet" Target="/xl/worksheets/sheet9.xml" Id="Rf3f9e1a546f14ac9" /><Relationship Type="http://schemas.openxmlformats.org/officeDocument/2006/relationships/worksheet" Target="/xl/worksheets/sheet10.xml" Id="Raf728196c8724ba8" /><Relationship Type="http://schemas.openxmlformats.org/officeDocument/2006/relationships/worksheet" Target="/xl/worksheets/sheet11.xml" Id="R8840356ef1644f48" /><Relationship Type="http://schemas.openxmlformats.org/officeDocument/2006/relationships/worksheet" Target="/xl/worksheets/sheet12.xml" Id="R0bf499e1018743a5" /><Relationship Type="http://schemas.openxmlformats.org/officeDocument/2006/relationships/worksheet" Target="/xl/worksheets/sheet13.xml" Id="R44dcd1b16eb646d5" /><Relationship Type="http://schemas.openxmlformats.org/officeDocument/2006/relationships/worksheet" Target="/xl/worksheets/sheet14.xml" Id="Rf10ab578eb6d4398" /><Relationship Type="http://schemas.openxmlformats.org/officeDocument/2006/relationships/worksheet" Target="/xl/worksheets/sheet15.xml" Id="Rb1b4c849667741e9" /><Relationship Type="http://schemas.openxmlformats.org/officeDocument/2006/relationships/worksheet" Target="/xl/worksheets/sheet16.xml" Id="Rfe61727087c849f0" /><Relationship Type="http://schemas.openxmlformats.org/officeDocument/2006/relationships/worksheet" Target="/xl/worksheets/sheet17.xml" Id="Rc572fd778da74b48" /><Relationship Type="http://schemas.openxmlformats.org/officeDocument/2006/relationships/worksheet" Target="/xl/worksheets/sheet18.xml" Id="R1a1a271c0a194328" /><Relationship Type="http://schemas.openxmlformats.org/officeDocument/2006/relationships/worksheet" Target="/xl/worksheets/sheet19.xml" Id="R5b800012bed04fd9" /><Relationship Type="http://schemas.openxmlformats.org/officeDocument/2006/relationships/worksheet" Target="/xl/worksheets/sheet20.xml" Id="Re8ba34711e714583" /><Relationship Type="http://schemas.openxmlformats.org/officeDocument/2006/relationships/worksheet" Target="/xl/worksheets/sheet21.xml" Id="R9615631798df4340" /><Relationship Type="http://schemas.openxmlformats.org/officeDocument/2006/relationships/worksheet" Target="/xl/worksheets/sheet22.xml" Id="Rfbcf6de3477d456c" /><Relationship Type="http://schemas.openxmlformats.org/officeDocument/2006/relationships/worksheet" Target="/xl/worksheets/sheet23.xml" Id="R45c0d0b786eb4c13" /><Relationship Type="http://schemas.openxmlformats.org/officeDocument/2006/relationships/worksheet" Target="/xl/worksheets/sheet24.xml" Id="R36a8f6978fd046da" /><Relationship Type="http://schemas.openxmlformats.org/officeDocument/2006/relationships/worksheet" Target="/xl/worksheets/sheet25.xml" Id="R5c0ca45daa644712" /><Relationship Type="http://schemas.openxmlformats.org/officeDocument/2006/relationships/worksheet" Target="/xl/worksheets/sheet26.xml" Id="R87dfd9e8c65a4fb6" /><Relationship Type="http://schemas.openxmlformats.org/officeDocument/2006/relationships/worksheet" Target="/xl/worksheets/sheet27.xml" Id="Rd7dd5c74ec6246df" /><Relationship Type="http://schemas.openxmlformats.org/officeDocument/2006/relationships/worksheet" Target="/xl/worksheets/sheet28.xml" Id="Ra8c5eec1441348a0"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d83fd0d7b641f2" /><Relationship Type="http://schemas.openxmlformats.org/officeDocument/2006/relationships/chart" Target="/xl/drawings/charts/chart2.xml" Id="Rdf03f475251b429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Inventory Value by Category</a:t>
            </a:r>
          </a:p>
        </c:rich>
      </c:tx>
    </c:title>
    <c:plotArea>
      <c:barChart>
        <c:barDir val="col"/>
        <c:varyColors val="0"/>
        <c:ser>
          <c:idx val="0"/>
          <c:order val="0"/>
          <c:tx>
            <c:v>Record Count</c:v>
          </c:tx>
          <c:cat>
            <c:strRef>
              <c:f>'Dashboard'!$A$11:$A$17</c:f>
              <c:strCache>
                <c:ptCount val="0"/>
              </c:strCache>
            </c:strRef>
          </c:cat>
          <c:val>
            <c:numRef>
              <c:f>'Dashboard'!$B$11:$B$17</c:f>
              <c:numCache>
                <c:formatCode>General</c:formatCode>
                <c:ptCount val="0"/>
              </c:numCache>
            </c:numRef>
          </c:val>
        </c:ser>
        <c:ser>
          <c:idx val="1"/>
          <c:order val="1"/>
          <c:tx>
            <c:v>Current Qty (Est.)</c:v>
          </c:tx>
          <c:cat>
            <c:strRef>
              <c:f>'Dashboard'!$A$11:$A$17</c:f>
              <c:strCache>
                <c:ptCount val="0"/>
              </c:strCache>
            </c:strRef>
          </c:cat>
          <c:val>
            <c:numRef>
              <c:f>'Dashboard'!$C$11:$C$17</c:f>
              <c:numCache>
                <c:formatCode>General</c:formatCode>
                <c:ptCount val="0"/>
              </c:numCache>
            </c:numRef>
          </c:val>
        </c:ser>
        <c:ser>
          <c:idx val="2"/>
          <c:order val="2"/>
          <c:tx>
            <c:v>Recorded Value</c:v>
          </c:tx>
          <c:cat>
            <c:strRef>
              <c:f>'Dashboard'!$A$11:$A$17</c:f>
              <c:strCache>
                <c:ptCount val="0"/>
              </c:strCache>
            </c:strRef>
          </c:cat>
          <c:val>
            <c:numRef>
              <c:f>'Dashboard'!$D$11:$D$17</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Inventory Value by Lab</a:t>
            </a:r>
          </a:p>
        </c:rich>
      </c:tx>
    </c:title>
    <c:plotArea>
      <c:barChart>
        <c:barDir val="col"/>
        <c:varyColors val="0"/>
        <c:ser>
          <c:idx val="0"/>
          <c:order val="0"/>
          <c:tx>
            <c:v>Lab Name</c:v>
          </c:tx>
          <c:cat>
            <c:strRef>
              <c:f>'Dashboard'!$F$11:$F$22</c:f>
              <c:strCache>
                <c:ptCount val="0"/>
              </c:strCache>
            </c:strRef>
          </c:cat>
          <c:val>
            <c:numRef>
              <c:f>'Dashboard'!$G$11:$G$22</c:f>
              <c:numCache>
                <c:formatCode>General</c:formatCode>
                <c:ptCount val="0"/>
              </c:numCache>
            </c:numRef>
          </c:val>
        </c:ser>
        <c:ser>
          <c:idx val="1"/>
          <c:order val="1"/>
          <c:tx>
            <c:v>Current Qty (Est.)</c:v>
          </c:tx>
          <c:cat>
            <c:strRef>
              <c:f>'Dashboard'!$F$11:$F$22</c:f>
              <c:strCache>
                <c:ptCount val="0"/>
              </c:strCache>
            </c:strRef>
          </c:cat>
          <c:val>
            <c:numRef>
              <c:f>'Dashboard'!$H$11:$H$22</c:f>
              <c:numCache>
                <c:formatCode>General</c:formatCode>
                <c:ptCount val="0"/>
              </c:numCache>
            </c:numRef>
          </c:val>
        </c:ser>
        <c:ser>
          <c:idx val="2"/>
          <c:order val="2"/>
          <c:tx>
            <c:v>Recorded Value</c:v>
          </c:tx>
          <c:cat>
            <c:strRef>
              <c:f>'Dashboard'!$F$11:$F$22</c:f>
              <c:strCache>
                <c:ptCount val="0"/>
              </c:strCache>
            </c:strRef>
          </c:cat>
          <c:val>
            <c:numRef>
              <c:f>'Dashboard'!$I$11:$I$22</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19</xdr:row>
      <xdr:rowOff>0</xdr:rowOff>
    </xdr:from>
    <xdr:to>
      <xdr:col>5</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d83fd0d7b641f2"/>
        </a:graphicData>
      </a:graphic>
    </xdr:graphicFrame>
    <xdr:clientData/>
  </xdr:twoCellAnchor>
  <xdr:twoCellAnchor>
    <xdr:from>
      <xdr:col>5</xdr:col>
      <xdr:colOff>0</xdr:colOff>
      <xdr:row>23</xdr:row>
      <xdr:rowOff>0</xdr:rowOff>
    </xdr:from>
    <xdr:to>
      <xdr:col>12</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03f475251b4299"/>
        </a:graphicData>
      </a:graphic>
    </xdr:graphicFrame>
    <xdr:clientData/>
  </xdr:twoCellAnchor>
</xdr:wsDr>
</file>

<file path=xl/tables/table1.xml><?xml version="1.0" encoding="utf-8"?>
<x:table xmlns:x="http://schemas.openxmlformats.org/spreadsheetml/2006/main" id="1" name="LabMasterTable" displayName="LabMasterTable" ref="A4:G16" headerRowCount="1" totalsRowCount="0" totalsRowShown="0">
  <x:tableColumns count="7">
    <x:tableColumn id="1" name="lab_id"/>
    <x:tableColumn id="2" name="lab_code"/>
    <x:tableColumn id="3" name="lab_name"/>
    <x:tableColumn id="4" name="investment"/>
    <x:tableColumn id="5" name="inventory_record_count"/>
    <x:tableColumn id="6" name="current_quantity_est"/>
    <x:tableColumn id="7" name="recorded_inventory_value"/>
  </x:tableColumns>
  <x:tableStyleInfo name="TableStyleMedium2" showFirstColumn="0" showLastColumn="0" showRowStripes="1" showColumnStripes="0"/>
</x:table>
</file>

<file path=xl/tables/table2.xml><?xml version="1.0" encoding="utf-8"?>
<x:table xmlns:x="http://schemas.openxmlformats.org/spreadsheetml/2006/main" id="2" name="RawInventoryTable" displayName="RawInventoryTable" ref="A4:AC85" headerRowCount="1" totalsRowCount="0" totalsRowShown="0">
  <x:tableColumns count="29">
    <x:tableColumn id="1" name="record_id"/>
    <x:tableColumn id="2" name="batch_id"/>
    <x:tableColumn id="3" name="source_file"/>
    <x:tableColumn id="4" name="source_page"/>
    <x:tableColumn id="5" name="lab_id"/>
    <x:tableColumn id="6" name="lab_code"/>
    <x:tableColumn id="7" name="lab_name"/>
    <x:tableColumn id="8" name="dead_stock_sr_no"/>
    <x:tableColumn id="9" name="category_id"/>
    <x:tableColumn id="10" name="category"/>
    <x:tableColumn id="11" name="brand"/>
    <x:tableColumn id="12" name="model_name"/>
    <x:tableColumn id="13" name="model_id"/>
    <x:tableColumn id="14" name="qty_raw"/>
    <x:tableColumn id="15" name="quantity_primary"/>
    <x:tableColumn id="16" name="quantity_parenthetical"/>
    <x:tableColumn id="17" name="quantity_original_est"/>
    <x:tableColumn id="18" name="quantity_current_est"/>
    <x:tableColumn id="19" name="unit_rate"/>
    <x:tableColumn id="20" name="total_cost"/>
    <x:tableColumn id="21" name="supplier_id"/>
    <x:tableColumn id="22" name="supplier_name"/>
    <x:tableColumn id="23" name="supplier_raw"/>
    <x:tableColumn id="24" name="purchase_date"/>
    <x:tableColumn id="25" name="reference_no"/>
    <x:tableColumn id="26" name="transfer_details"/>
    <x:tableColumn id="27" name="writeoff_details"/>
    <x:tableColumn id="28" name="status"/>
    <x:tableColumn id="29" name="raw_description"/>
  </x:tableColumns>
  <x:tableStyleInfo name="TableStyleMedium2" showFirstColumn="0" showLastColumn="0" showRowStripes="1" showColumnStripes="0"/>
</x:table>
</file>

<file path=xl/tables/table3.xml><?xml version="1.0" encoding="utf-8"?>
<x:table xmlns:x="http://schemas.openxmlformats.org/spreadsheetml/2006/main" id="3" name="SuppliersTable" displayName="SuppliersTable" ref="A4:D11" headerRowCount="1" totalsRowCount="0" totalsRowShown="0">
  <x:tableColumns count="4">
    <x:tableColumn id="1" name="supplier_id"/>
    <x:tableColumn id="2" name="supplier_name"/>
    <x:tableColumn id="3" name="gstin"/>
    <x:tableColumn id="4" name="address_raw"/>
  </x:tableColumns>
  <x:tableStyleInfo name="TableStyleMedium2" showFirstColumn="0" showLastColumn="0" showRowStripes="1" showColumnStripes="0"/>
</x:table>
</file>

<file path=xl/tables/table4.xml><?xml version="1.0" encoding="utf-8"?>
<x:table xmlns:x="http://schemas.openxmlformats.org/spreadsheetml/2006/main" id="4" name="CategoriesTable" displayName="CategoriesTable" ref="A4:B11" headerRowCount="1" totalsRowCount="0" totalsRowShown="0">
  <x:tableColumns count="2">
    <x:tableColumn id="1" name="category_id"/>
    <x:tableColumn id="2" name="category_name"/>
  </x:tableColumns>
  <x:tableStyleInfo name="TableStyleMedium2" showFirstColumn="0" showLastColumn="0" showRowStripes="1" showColumnStripes="0"/>
</x:table>
</file>

<file path=xl/tables/table5.xml><?xml version="1.0" encoding="utf-8"?>
<x:table xmlns:x="http://schemas.openxmlformats.org/spreadsheetml/2006/main" id="5" name="EquipmentModelsTable" displayName="EquipmentModelsTable" ref="A4:F59" headerRowCount="1" totalsRowCount="0" totalsRowShown="0">
  <x:tableColumns count="6">
    <x:tableColumn id="1" name="model_id"/>
    <x:tableColumn id="2" name="category_id"/>
    <x:tableColumn id="3" name="category_name"/>
    <x:tableColumn id="4" name="brand"/>
    <x:tableColumn id="5" name="model_name"/>
    <x:tableColumn id="6" name="configuration_summary"/>
  </x:tableColumns>
  <x:tableStyleInfo name="TableStyleMedium2" showFirstColumn="0" showLastColumn="0" showRowStripes="1" showColumnStripes="0"/>
</x:table>
</file>

<file path=xl/tables/table6.xml><?xml version="1.0" encoding="utf-8"?>
<x:table xmlns:x="http://schemas.openxmlformats.org/spreadsheetml/2006/main" id="6" name="PurchaseBatchesTable" displayName="PurchaseBatchesTable" ref="A4:O85" headerRowCount="1" totalsRowCount="0" totalsRowShown="0">
  <x:tableColumns count="15">
    <x:tableColumn id="1" name="batch_id"/>
    <x:tableColumn id="2" name="acquisition_lab_id"/>
    <x:tableColumn id="3" name="model_id"/>
    <x:tableColumn id="4" name="supplier_id"/>
    <x:tableColumn id="5" name="register_sr_no"/>
    <x:tableColumn id="6" name="purchase_date"/>
    <x:tableColumn id="7" name="reference_no"/>
    <x:tableColumn id="8" name="quantity_original"/>
    <x:tableColumn id="9" name="quantity_current"/>
    <x:tableColumn id="10" name="unit_rate"/>
    <x:tableColumn id="11" name="total_cost"/>
    <x:tableColumn id="12" name="status"/>
    <x:tableColumn id="13" name="source_file"/>
    <x:tableColumn id="14" name="source_page"/>
    <x:tableColumn id="15" name="source_description"/>
  </x:tableColumns>
  <x:tableStyleInfo name="TableStyleMedium2" showFirstColumn="0" showLastColumn="0" showRowStripes="1" showColumnStripes="0"/>
</x:table>
</file>

<file path=xl/tables/table7.xml><?xml version="1.0" encoding="utf-8"?>
<x:table xmlns:x="http://schemas.openxmlformats.org/spreadsheetml/2006/main" id="7" name="AssetEventsTable" displayName="AssetEventsTable" ref="A4:H16" headerRowCount="1" totalsRowCount="0" totalsRowShown="0">
  <x:tableColumns count="8">
    <x:tableColumn id="1" name="event_id"/>
    <x:tableColumn id="2" name="batch_id"/>
    <x:tableColumn id="3" name="event_type"/>
    <x:tableColumn id="4" name="quantity_change"/>
    <x:tableColumn id="5" name="from_lab_id"/>
    <x:tableColumn id="6" name="to_lab_id"/>
    <x:tableColumn id="7" name="event_date"/>
    <x:tableColumn id="8" name="details"/>
  </x:tableColumns>
  <x:tableStyleInfo name="TableStyleMedium2" showFirstColumn="0" showLastColumn="0" showRowStripes="1" showColumnStripes="0"/>
</x:table>
</file>

<file path=xl/tables/table8.xml><?xml version="1.0" encoding="utf-8"?>
<x:table xmlns:x="http://schemas.openxmlformats.org/spreadsheetml/2006/main" id="8" name="ExtractedSerialsTable" displayName="ExtractedSerialsTable" ref="A4:D61" headerRowCount="1" totalsRowCount="0" totalsRowShown="0">
  <x:tableColumns count="4">
    <x:tableColumn id="1" name="serial_id"/>
    <x:tableColumn id="2" name="batch_id"/>
    <x:tableColumn id="3" name="serial_no"/>
    <x:tableColumn id="4" name="serial_type"/>
  </x:tableColumns>
  <x:tableStyleInfo name="TableStyleMedium2" showFirstColumn="0" showLastColumn="0" showRowStripes="1" showColumnStripes="0"/>
</x:table>
</file>

<file path=xl/tables/table9.xml><?xml version="1.0" encoding="utf-8"?>
<x:table xmlns:x="http://schemas.openxmlformats.org/spreadsheetml/2006/main" id="9" name="ComputersTable" displayName="ComputersTable" ref="A4:U32" headerRowCount="1" totalsRowCount="0" totalsRowShown="0">
  <x:tableColumns count="21">
    <x:tableColumn id="1" name="batch_id"/>
    <x:tableColumn id="2" name="lab_code"/>
    <x:tableColumn id="3" name="lab_name"/>
    <x:tableColumn id="4" name="dead_stock_sr_no"/>
    <x:tableColumn id="5" name="brand"/>
    <x:tableColumn id="6" name="model_name"/>
    <x:tableColumn id="7" name="purchase_date"/>
    <x:tableColumn id="8" name="quantity_current"/>
    <x:tableColumn id="9" name="quantity_original"/>
    <x:tableColumn id="10" name="unit_rate"/>
    <x:tableColumn id="11" name="total_cost"/>
    <x:tableColumn id="12" name="supplier_name"/>
    <x:tableColumn id="13" name="warranty_years"/>
    <x:tableColumn id="14" name="status"/>
    <x:tableColumn id="15" name="processor"/>
    <x:tableColumn id="16" name="ram_gb"/>
    <x:tableColumn id="17" name="storage"/>
    <x:tableColumn id="18" name="operating_system"/>
    <x:tableColumn id="19" name="monitor_size_in"/>
    <x:tableColumn id="20" name="serial_numbers_raw"/>
    <x:tableColumn id="21" name="raw_description"/>
  </x:tableColumns>
  <x:tableStyleInfo name="TableStyleMedium2" showFirstColumn="0" showLastColumn="0" showRowStripes="1" showColumnStripes="0"/>
</x:table>
</file>

<file path=xl/tables/table10.xml><?xml version="1.0" encoding="utf-8"?>
<x:table xmlns:x="http://schemas.openxmlformats.org/spreadsheetml/2006/main" id="10" name="LaptopsTable" displayName="LaptopsTable" ref="A4:U10" headerRowCount="1" totalsRowCount="0" totalsRowShown="0">
  <x:tableColumns count="21">
    <x:tableColumn id="1" name="batch_id"/>
    <x:tableColumn id="2" name="lab_code"/>
    <x:tableColumn id="3" name="lab_name"/>
    <x:tableColumn id="4" name="dead_stock_sr_no"/>
    <x:tableColumn id="5" name="brand"/>
    <x:tableColumn id="6" name="model_name"/>
    <x:tableColumn id="7" name="purchase_date"/>
    <x:tableColumn id="8" name="quantity_current"/>
    <x:tableColumn id="9" name="quantity_original"/>
    <x:tableColumn id="10" name="unit_rate"/>
    <x:tableColumn id="11" name="total_cost"/>
    <x:tableColumn id="12" name="supplier_name"/>
    <x:tableColumn id="13" name="warranty_years"/>
    <x:tableColumn id="14" name="status"/>
    <x:tableColumn id="15" name="processor"/>
    <x:tableColumn id="16" name="ram_gb"/>
    <x:tableColumn id="17" name="storage"/>
    <x:tableColumn id="18" name="operating_system"/>
    <x:tableColumn id="19" name="monitor_size_in"/>
    <x:tableColumn id="20" name="serial_numbers_raw"/>
    <x:tableColumn id="21" name="raw_description"/>
  </x:tableColumns>
  <x:tableStyleInfo name="TableStyleMedium2" showFirstColumn="0" showLastColumn="0" showRowStripes="1" showColumnStripes="0"/>
</x:table>
</file>

<file path=xl/tables/table11.xml><?xml version="1.0" encoding="utf-8"?>
<x:table xmlns:x="http://schemas.openxmlformats.org/spreadsheetml/2006/main" id="11" name="PrintersTable" displayName="PrintersTable" ref="A4:U15" headerRowCount="1" totalsRowCount="0" totalsRowShown="0">
  <x:tableColumns count="21">
    <x:tableColumn id="1" name="batch_id"/>
    <x:tableColumn id="2" name="lab_code"/>
    <x:tableColumn id="3" name="lab_name"/>
    <x:tableColumn id="4" name="dead_stock_sr_no"/>
    <x:tableColumn id="5" name="brand"/>
    <x:tableColumn id="6" name="model_name"/>
    <x:tableColumn id="7" name="purchase_date"/>
    <x:tableColumn id="8" name="quantity_current"/>
    <x:tableColumn id="9" name="quantity_original"/>
    <x:tableColumn id="10" name="unit_rate"/>
    <x:tableColumn id="11" name="total_cost"/>
    <x:tableColumn id="12" name="supplier_name"/>
    <x:tableColumn id="13" name="warranty_years"/>
    <x:tableColumn id="14" name="status"/>
    <x:tableColumn id="15" name="functions"/>
    <x:tableColumn id="16" name="print_speed_ppm"/>
    <x:tableColumn id="17" name="resolution"/>
    <x:tableColumn id="18" name="connectivity"/>
    <x:tableColumn id="19" name="input_tray_sheets"/>
    <x:tableColumn id="20" name="serial_numbers_raw"/>
    <x:tableColumn id="21" name="raw_description"/>
  </x:tableColumns>
  <x:tableStyleInfo name="TableStyleMedium2" showFirstColumn="0" showLastColumn="0" showRowStripes="1" showColumnStripes="0"/>
</x:table>
</file>

<file path=xl/tables/table12.xml><?xml version="1.0" encoding="utf-8"?>
<x:table xmlns:x="http://schemas.openxmlformats.org/spreadsheetml/2006/main" id="12" name="UPSDataTable" displayName="UPSDataTable" ref="A4:V21" headerRowCount="1" totalsRowCount="0" totalsRowShown="0">
  <x:tableColumns count="22">
    <x:tableColumn id="1" name="batch_id"/>
    <x:tableColumn id="2" name="lab_code"/>
    <x:tableColumn id="3" name="lab_name"/>
    <x:tableColumn id="4" name="dead_stock_sr_no"/>
    <x:tableColumn id="5" name="brand"/>
    <x:tableColumn id="6" name="model_name"/>
    <x:tableColumn id="7" name="purchase_date"/>
    <x:tableColumn id="8" name="quantity_current"/>
    <x:tableColumn id="9" name="quantity_original"/>
    <x:tableColumn id="10" name="unit_rate"/>
    <x:tableColumn id="11" name="total_cost"/>
    <x:tableColumn id="12" name="supplier_name"/>
    <x:tableColumn id="13" name="warranty_years"/>
    <x:tableColumn id="14" name="status"/>
    <x:tableColumn id="15" name="capacity_kva"/>
    <x:tableColumn id="16" name="dc_voltage"/>
    <x:tableColumn id="17" name="input_voltage_range"/>
    <x:tableColumn id="18" name="output_power_factor"/>
    <x:tableColumn id="19" name="charger_amp"/>
    <x:tableColumn id="20" name="battery_spec"/>
    <x:tableColumn id="21" name="serial_numbers_raw"/>
    <x:tableColumn id="22" name="raw_description"/>
  </x:tableColumns>
  <x:tableStyleInfo name="TableStyleMedium2" showFirstColumn="0" showLastColumn="0" showRowStripes="1" showColumnStripes="0"/>
</x:table>
</file>

<file path=xl/tables/table13.xml><?xml version="1.0" encoding="utf-8"?>
<x:table xmlns:x="http://schemas.openxmlformats.org/spreadsheetml/2006/main" id="13" name="BatteriesTable" displayName="BatteriesTable" ref="A4:S8" headerRowCount="1" totalsRowCount="0" totalsRowShown="0">
  <x:tableColumns count="19">
    <x:tableColumn id="1" name="batch_id"/>
    <x:tableColumn id="2" name="lab_code"/>
    <x:tableColumn id="3" name="lab_name"/>
    <x:tableColumn id="4" name="dead_stock_sr_no"/>
    <x:tableColumn id="5" name="brand"/>
    <x:tableColumn id="6" name="model_name"/>
    <x:tableColumn id="7" name="purchase_date"/>
    <x:tableColumn id="8" name="quantity_current"/>
    <x:tableColumn id="9" name="quantity_original"/>
    <x:tableColumn id="10" name="unit_rate"/>
    <x:tableColumn id="11" name="total_cost"/>
    <x:tableColumn id="12" name="supplier_name"/>
    <x:tableColumn id="13" name="warranty_years"/>
    <x:tableColumn id="14" name="status"/>
    <x:tableColumn id="15" name="voltage_v"/>
    <x:tableColumn id="16" name="capacity_ah"/>
    <x:tableColumn id="17" name="battery_type"/>
    <x:tableColumn id="18" name="serial_numbers_raw"/>
    <x:tableColumn id="19" name="raw_description"/>
  </x:tableColumns>
  <x:tableStyleInfo name="TableStyleMedium2" showFirstColumn="0" showLastColumn="0" showRowStripes="1" showColumnStripes="0"/>
</x:table>
</file>

<file path=xl/tables/table14.xml><?xml version="1.0" encoding="utf-8"?>
<x:table xmlns:x="http://schemas.openxmlformats.org/spreadsheetml/2006/main" id="14" name="ProjectorsTable" displayName="ProjectorsTable" ref="A4:R17" headerRowCount="1" totalsRowCount="0" totalsRowShown="0">
  <x:tableColumns count="18">
    <x:tableColumn id="1" name="batch_id"/>
    <x:tableColumn id="2" name="lab_code"/>
    <x:tableColumn id="3" name="lab_name"/>
    <x:tableColumn id="4" name="dead_stock_sr_no"/>
    <x:tableColumn id="5" name="brand"/>
    <x:tableColumn id="6" name="model_name"/>
    <x:tableColumn id="7" name="purchase_date"/>
    <x:tableColumn id="8" name="quantity_current"/>
    <x:tableColumn id="9" name="quantity_original"/>
    <x:tableColumn id="10" name="unit_rate"/>
    <x:tableColumn id="11" name="total_cost"/>
    <x:tableColumn id="12" name="supplier_name"/>
    <x:tableColumn id="13" name="warranty_years"/>
    <x:tableColumn id="14" name="status"/>
    <x:tableColumn id="15" name="technology"/>
    <x:tableColumn id="16" name="brightness_lumens"/>
    <x:tableColumn id="17" name="serial_numbers_raw"/>
    <x:tableColumn id="18" name="raw_description"/>
  </x:tableColumns>
  <x:tableStyleInfo name="TableStyleMedium2" showFirstColumn="0" showLastColumn="0" showRowStripes="1" showColumnStripes="0"/>
</x:table>
</file>

<file path=xl/tables/table15.xml><?xml version="1.0" encoding="utf-8"?>
<x:table xmlns:x="http://schemas.openxmlformats.org/spreadsheetml/2006/main" id="15" name="InteractivePanelsTable" displayName="InteractivePanelsTable" ref="A4:AB6" headerRowCount="1" totalsRowCount="0" totalsRowShown="0">
  <x:tableColumns count="28">
    <x:tableColumn id="1" name="batch_id"/>
    <x:tableColumn id="2" name="lab_code"/>
    <x:tableColumn id="3" name="lab_name"/>
    <x:tableColumn id="4" name="dead_stock_sr_no"/>
    <x:tableColumn id="5" name="brand"/>
    <x:tableColumn id="6" name="model_name"/>
    <x:tableColumn id="7" name="purchase_date"/>
    <x:tableColumn id="8" name="quantity_current"/>
    <x:tableColumn id="9" name="quantity_original"/>
    <x:tableColumn id="10" name="unit_rate"/>
    <x:tableColumn id="11" name="total_cost"/>
    <x:tableColumn id="12" name="supplier_name"/>
    <x:tableColumn id="13" name="warranty_years"/>
    <x:tableColumn id="14" name="status"/>
    <x:tableColumn id="15" name="screen_size_in"/>
    <x:tableColumn id="16" name="resolution"/>
    <x:tableColumn id="17" name="android_version"/>
    <x:tableColumn id="18" name="ram_gb"/>
    <x:tableColumn id="19" name="storage"/>
    <x:tableColumn id="20" name="touch_points"/>
    <x:tableColumn id="21" name="touch_accuracy_mm"/>
    <x:tableColumn id="22" name="type_c_power_w"/>
    <x:tableColumn id="23" name="pc_processor"/>
    <x:tableColumn id="24" name="pc_ram_gb"/>
    <x:tableColumn id="25" name="pc_storage"/>
    <x:tableColumn id="26" name="pc_operating_system"/>
    <x:tableColumn id="27" name="serial_numbers_raw"/>
    <x:tableColumn id="28" name="raw_description"/>
  </x:tableColumns>
  <x:tableStyleInfo name="TableStyleMedium2" showFirstColumn="0" showLastColumn="0" showRowStripes="1" showColumnStripes="0"/>
</x:table>
</file>

<file path=xl/tables/table16.xml><?xml version="1.0" encoding="utf-8"?>
<x:table xmlns:x="http://schemas.openxmlformats.org/spreadsheetml/2006/main" id="16" name="SpecComputersTable" displayName="SpecComputersTable" ref="A4:H28" headerRowCount="1" totalsRowCount="0" totalsRowShown="0">
  <x:tableColumns count="8">
    <x:tableColumn id="1" name="model_id"/>
    <x:tableColumn id="2" name="brand"/>
    <x:tableColumn id="3" name="model_name"/>
    <x:tableColumn id="4" name="processor"/>
    <x:tableColumn id="5" name="ram_gb"/>
    <x:tableColumn id="6" name="storage"/>
    <x:tableColumn id="7" name="operating_system"/>
    <x:tableColumn id="8" name="monitor_size_in"/>
  </x:tableColumns>
  <x:tableStyleInfo name="TableStyleMedium2" showFirstColumn="0" showLastColumn="0" showRowStripes="1" showColumnStripes="0"/>
</x:table>
</file>

<file path=xl/tables/table17.xml><?xml version="1.0" encoding="utf-8"?>
<x:table xmlns:x="http://schemas.openxmlformats.org/spreadsheetml/2006/main" id="17" name="SpecLaptopsTable" displayName="SpecLaptopsTable" ref="A4:H8" headerRowCount="1" totalsRowCount="0" totalsRowShown="0">
  <x:tableColumns count="8">
    <x:tableColumn id="1" name="model_id"/>
    <x:tableColumn id="2" name="brand"/>
    <x:tableColumn id="3" name="model_name"/>
    <x:tableColumn id="4" name="processor"/>
    <x:tableColumn id="5" name="ram_gb"/>
    <x:tableColumn id="6" name="storage"/>
    <x:tableColumn id="7" name="operating_system"/>
    <x:tableColumn id="8" name="monitor_size_in"/>
  </x:tableColumns>
  <x:tableStyleInfo name="TableStyleMedium2" showFirstColumn="0" showLastColumn="0" showRowStripes="1" showColumnStripes="0"/>
</x:table>
</file>

<file path=xl/tables/table18.xml><?xml version="1.0" encoding="utf-8"?>
<x:table xmlns:x="http://schemas.openxmlformats.org/spreadsheetml/2006/main" id="18" name="SpecPrintersTable" displayName="SpecPrintersTable" ref="A4:H11" headerRowCount="1" totalsRowCount="0" totalsRowShown="0">
  <x:tableColumns count="8">
    <x:tableColumn id="1" name="model_id"/>
    <x:tableColumn id="2" name="brand"/>
    <x:tableColumn id="3" name="model_name"/>
    <x:tableColumn id="4" name="functions"/>
    <x:tableColumn id="5" name="print_speed_ppm"/>
    <x:tableColumn id="6" name="resolution"/>
    <x:tableColumn id="7" name="connectivity"/>
    <x:tableColumn id="8" name="input_tray_sheets"/>
  </x:tableColumns>
  <x:tableStyleInfo name="TableStyleMedium2" showFirstColumn="0" showLastColumn="0" showRowStripes="1" showColumnStripes="0"/>
</x:table>
</file>

<file path=xl/tables/table19.xml><?xml version="1.0" encoding="utf-8"?>
<x:table xmlns:x="http://schemas.openxmlformats.org/spreadsheetml/2006/main" id="19" name="SpecUPSTable" displayName="SpecUPSTable" ref="A4:I13" headerRowCount="1" totalsRowCount="0" totalsRowShown="0">
  <x:tableColumns count="9">
    <x:tableColumn id="1" name="model_id"/>
    <x:tableColumn id="2" name="brand"/>
    <x:tableColumn id="3" name="model_name"/>
    <x:tableColumn id="4" name="capacity_kva"/>
    <x:tableColumn id="5" name="dc_voltage"/>
    <x:tableColumn id="6" name="input_voltage_range"/>
    <x:tableColumn id="7" name="output_power_factor"/>
    <x:tableColumn id="8" name="charger_amp"/>
    <x:tableColumn id="9" name="battery_spec"/>
  </x:tableColumns>
  <x:tableStyleInfo name="TableStyleMedium2" showFirstColumn="0" showLastColumn="0" showRowStripes="1" showColumnStripes="0"/>
</x:table>
</file>

<file path=xl/tables/table20.xml><?xml version="1.0" encoding="utf-8"?>
<x:table xmlns:x="http://schemas.openxmlformats.org/spreadsheetml/2006/main" id="20" name="SpecBatteriesTable" displayName="SpecBatteriesTable" ref="A4:F7" headerRowCount="1" totalsRowCount="0" totalsRowShown="0">
  <x:tableColumns count="6">
    <x:tableColumn id="1" name="model_id"/>
    <x:tableColumn id="2" name="brand"/>
    <x:tableColumn id="3" name="model_name"/>
    <x:tableColumn id="4" name="voltage_v"/>
    <x:tableColumn id="5" name="capacity_ah"/>
    <x:tableColumn id="6" name="battery_type"/>
  </x:tableColumns>
  <x:tableStyleInfo name="TableStyleMedium2" showFirstColumn="0" showLastColumn="0" showRowStripes="1" showColumnStripes="0"/>
</x:table>
</file>

<file path=xl/tables/table21.xml><?xml version="1.0" encoding="utf-8"?>
<x:table xmlns:x="http://schemas.openxmlformats.org/spreadsheetml/2006/main" id="21" name="SpecProjectorsTable" displayName="SpecProjectorsTable" ref="A4:E10" headerRowCount="1" totalsRowCount="0" totalsRowShown="0">
  <x:tableColumns count="5">
    <x:tableColumn id="1" name="model_id"/>
    <x:tableColumn id="2" name="brand"/>
    <x:tableColumn id="3" name="model_name"/>
    <x:tableColumn id="4" name="technology"/>
    <x:tableColumn id="5" name="brightness_lumens"/>
  </x:tableColumns>
  <x:tableStyleInfo name="TableStyleMedium2" showFirstColumn="0" showLastColumn="0" showRowStripes="1" showColumnStripes="0"/>
</x:table>
</file>

<file path=xl/tables/table22.xml><?xml version="1.0" encoding="utf-8"?>
<x:table xmlns:x="http://schemas.openxmlformats.org/spreadsheetml/2006/main" id="22" name="SpecPanelsTable" displayName="SpecPanelsTable" ref="A4:O6" headerRowCount="1" totalsRowCount="0" totalsRowShown="0">
  <x:tableColumns count="15">
    <x:tableColumn id="1" name="model_id"/>
    <x:tableColumn id="2" name="brand"/>
    <x:tableColumn id="3" name="model_name"/>
    <x:tableColumn id="4" name="screen_size_in"/>
    <x:tableColumn id="5" name="resolution"/>
    <x:tableColumn id="6" name="android_version"/>
    <x:tableColumn id="7" name="ram_gb"/>
    <x:tableColumn id="8" name="storage"/>
    <x:tableColumn id="9" name="touch_points"/>
    <x:tableColumn id="10" name="touch_accuracy_mm"/>
    <x:tableColumn id="11" name="type_c_power_w"/>
    <x:tableColumn id="12" name="pc_processor"/>
    <x:tableColumn id="13" name="pc_ram_gb"/>
    <x:tableColumn id="14" name="pc_storage"/>
    <x:tableColumn id="15" name="pc_operating_system"/>
  </x:tableColumns>
  <x:tableStyleInfo name="TableStyleMedium2" showFirstColumn="0" showLastColumn="0" showRowStripes="1" showColumnStripes="0"/>
</x:table>
</file>

<file path=xl/tables/table23.xml><?xml version="1.0" encoding="utf-8"?>
<x:table xmlns:x="http://schemas.openxmlformats.org/spreadsheetml/2006/main" id="23" name="DBKeysTable" displayName="DBKeysTable" ref="A4:G139" headerRowCount="1" totalsRowCount="0" totalsRowShown="0">
  <x:tableColumns count="7">
    <x:tableColumn id="1" name="schema_group"/>
    <x:tableColumn id="2" name="table"/>
    <x:tableColumn id="3" name="column"/>
    <x:tableColumn id="4" name="data_type"/>
    <x:tableColumn id="5" name="key_or_constraint"/>
    <x:tableColumn id="6" name="nullable"/>
    <x:tableColumn id="7" name="purpose"/>
  </x:tableColumns>
  <x:tableStyleInfo name="TableStyleMedium2" showFirstColumn="0" showLastColumn="0" showRowStripes="1" showColumnStripes="0"/>
</x:table>
</file>

<file path=xl/tables/table24.xml><?xml version="1.0" encoding="utf-8"?>
<x:table xmlns:x="http://schemas.openxmlformats.org/spreadsheetml/2006/main" id="24" name="RelationshipsTable" displayName="RelationshipsTable" ref="A4:E27" headerRowCount="1" totalsRowCount="0" totalsRowShown="0">
  <x:tableColumns count="5">
    <x:tableColumn id="1" name="from_table"/>
    <x:tableColumn id="2" name="to_table"/>
    <x:tableColumn id="3" name="foreign_key"/>
    <x:tableColumn id="4" name="cardinality"/>
    <x:tableColumn id="5"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a4147a895a64409" /></Relationships>
</file>

<file path=xl/worksheets/_rels/sheet3.xml.rels>&#65279;<?xml version="1.0" encoding="utf-8"?><Relationships xmlns="http://schemas.openxmlformats.org/package/2006/relationships"><Relationship Type="http://schemas.openxmlformats.org/officeDocument/2006/relationships/table" Target="/xl/tables/table1.xml" Id="Re67757b7d3164bff" /></Relationships>
</file>

<file path=xl/worksheets/_rels/sheet4.xml.rels>&#65279;<?xml version="1.0" encoding="utf-8"?><Relationships xmlns="http://schemas.openxmlformats.org/package/2006/relationships"><Relationship Type="http://schemas.openxmlformats.org/officeDocument/2006/relationships/table" Target="/xl/tables/table2.xml" Id="Recc919bde4704ba4" /></Relationships>
</file>

<file path=xl/worksheets/_rels/sheet5.xml.rels>&#65279;<?xml version="1.0" encoding="utf-8"?><Relationships xmlns="http://schemas.openxmlformats.org/package/2006/relationships"><Relationship Type="http://schemas.openxmlformats.org/officeDocument/2006/relationships/table" Target="/xl/tables/table3.xml" Id="R4ac70fb8a3634b61" /></Relationships>
</file>

<file path=xl/worksheets/_rels/sheet6.xml.rels>&#65279;<?xml version="1.0" encoding="utf-8"?><Relationships xmlns="http://schemas.openxmlformats.org/package/2006/relationships"><Relationship Type="http://schemas.openxmlformats.org/officeDocument/2006/relationships/table" Target="/xl/tables/table4.xml" Id="R8576191533ce474c" /></Relationships>
</file>

<file path=xl/worksheets/_rels/sheet7.xml.rels>&#65279;<?xml version="1.0" encoding="utf-8"?><Relationships xmlns="http://schemas.openxmlformats.org/package/2006/relationships"><Relationship Type="http://schemas.openxmlformats.org/officeDocument/2006/relationships/table" Target="/xl/tables/table5.xml" Id="R6ee460862dd8448f" /></Relationships>
</file>

<file path=xl/worksheets/_rels/sheet8.xml.rels>&#65279;<?xml version="1.0" encoding="utf-8"?><Relationships xmlns="http://schemas.openxmlformats.org/package/2006/relationships"><Relationship Type="http://schemas.openxmlformats.org/officeDocument/2006/relationships/table" Target="/xl/tables/table6.xml" Id="Rb39a56751a714459" /></Relationships>
</file>

<file path=xl/worksheets/_rels/sheet9.xml.rels>&#65279;<?xml version="1.0" encoding="utf-8"?><Relationships xmlns="http://schemas.openxmlformats.org/package/2006/relationships"><Relationship Type="http://schemas.openxmlformats.org/officeDocument/2006/relationships/table" Target="/xl/tables/table7.xml" Id="R187a8fc39c7b4edc" /></Relationships>
</file>

<file path=xl/worksheets/_rels/sheet10.xml.rels>&#65279;<?xml version="1.0" encoding="utf-8"?><Relationships xmlns="http://schemas.openxmlformats.org/package/2006/relationships"><Relationship Type="http://schemas.openxmlformats.org/officeDocument/2006/relationships/table" Target="/xl/tables/table8.xml" Id="R0c7e24396474444a" /></Relationships>
</file>

<file path=xl/worksheets/_rels/sheet11.xml.rels>&#65279;<?xml version="1.0" encoding="utf-8"?><Relationships xmlns="http://schemas.openxmlformats.org/package/2006/relationships"><Relationship Type="http://schemas.openxmlformats.org/officeDocument/2006/relationships/table" Target="/xl/tables/table9.xml" Id="R0ae2c0c41fae419e" /></Relationships>
</file>

<file path=xl/worksheets/_rels/sheet12.xml.rels>&#65279;<?xml version="1.0" encoding="utf-8"?><Relationships xmlns="http://schemas.openxmlformats.org/package/2006/relationships"><Relationship Type="http://schemas.openxmlformats.org/officeDocument/2006/relationships/table" Target="/xl/tables/table10.xml" Id="R31193d96601947cc" /></Relationships>
</file>

<file path=xl/worksheets/_rels/sheet13.xml.rels>&#65279;<?xml version="1.0" encoding="utf-8"?><Relationships xmlns="http://schemas.openxmlformats.org/package/2006/relationships"><Relationship Type="http://schemas.openxmlformats.org/officeDocument/2006/relationships/table" Target="/xl/tables/table11.xml" Id="R7d8959cc28a34b38" /></Relationships>
</file>

<file path=xl/worksheets/_rels/sheet14.xml.rels>&#65279;<?xml version="1.0" encoding="utf-8"?><Relationships xmlns="http://schemas.openxmlformats.org/package/2006/relationships"><Relationship Type="http://schemas.openxmlformats.org/officeDocument/2006/relationships/table" Target="/xl/tables/table12.xml" Id="R32a48ace329a4cfa" /></Relationships>
</file>

<file path=xl/worksheets/_rels/sheet15.xml.rels>&#65279;<?xml version="1.0" encoding="utf-8"?><Relationships xmlns="http://schemas.openxmlformats.org/package/2006/relationships"><Relationship Type="http://schemas.openxmlformats.org/officeDocument/2006/relationships/table" Target="/xl/tables/table13.xml" Id="Rfebd2a2661cc4aac" /></Relationships>
</file>

<file path=xl/worksheets/_rels/sheet16.xml.rels>&#65279;<?xml version="1.0" encoding="utf-8"?><Relationships xmlns="http://schemas.openxmlformats.org/package/2006/relationships"><Relationship Type="http://schemas.openxmlformats.org/officeDocument/2006/relationships/table" Target="/xl/tables/table14.xml" Id="Rda51da81be704fc6" /></Relationships>
</file>

<file path=xl/worksheets/_rels/sheet17.xml.rels>&#65279;<?xml version="1.0" encoding="utf-8"?><Relationships xmlns="http://schemas.openxmlformats.org/package/2006/relationships"><Relationship Type="http://schemas.openxmlformats.org/officeDocument/2006/relationships/table" Target="/xl/tables/table15.xml" Id="Rdea3f8b6408d45a4" /></Relationships>
</file>

<file path=xl/worksheets/_rels/sheet18.xml.rels>&#65279;<?xml version="1.0" encoding="utf-8"?><Relationships xmlns="http://schemas.openxmlformats.org/package/2006/relationships"><Relationship Type="http://schemas.openxmlformats.org/officeDocument/2006/relationships/table" Target="/xl/tables/table16.xml" Id="Rfe65cfd45dd04e7f" /></Relationships>
</file>

<file path=xl/worksheets/_rels/sheet19.xml.rels>&#65279;<?xml version="1.0" encoding="utf-8"?><Relationships xmlns="http://schemas.openxmlformats.org/package/2006/relationships"><Relationship Type="http://schemas.openxmlformats.org/officeDocument/2006/relationships/table" Target="/xl/tables/table17.xml" Id="Rf596329614c145dc" /></Relationships>
</file>

<file path=xl/worksheets/_rels/sheet20.xml.rels>&#65279;<?xml version="1.0" encoding="utf-8"?><Relationships xmlns="http://schemas.openxmlformats.org/package/2006/relationships"><Relationship Type="http://schemas.openxmlformats.org/officeDocument/2006/relationships/table" Target="/xl/tables/table18.xml" Id="Racc1927e74cd445a" /></Relationships>
</file>

<file path=xl/worksheets/_rels/sheet21.xml.rels>&#65279;<?xml version="1.0" encoding="utf-8"?><Relationships xmlns="http://schemas.openxmlformats.org/package/2006/relationships"><Relationship Type="http://schemas.openxmlformats.org/officeDocument/2006/relationships/table" Target="/xl/tables/table19.xml" Id="Rdd95f6e8905c4f8a" /></Relationships>
</file>

<file path=xl/worksheets/_rels/sheet22.xml.rels>&#65279;<?xml version="1.0" encoding="utf-8"?><Relationships xmlns="http://schemas.openxmlformats.org/package/2006/relationships"><Relationship Type="http://schemas.openxmlformats.org/officeDocument/2006/relationships/table" Target="/xl/tables/table20.xml" Id="R4d3e90f87e8e4c5f" /></Relationships>
</file>

<file path=xl/worksheets/_rels/sheet23.xml.rels>&#65279;<?xml version="1.0" encoding="utf-8"?><Relationships xmlns="http://schemas.openxmlformats.org/package/2006/relationships"><Relationship Type="http://schemas.openxmlformats.org/officeDocument/2006/relationships/table" Target="/xl/tables/table21.xml" Id="R0d29217b5d174d61" /></Relationships>
</file>

<file path=xl/worksheets/_rels/sheet24.xml.rels>&#65279;<?xml version="1.0" encoding="utf-8"?><Relationships xmlns="http://schemas.openxmlformats.org/package/2006/relationships"><Relationship Type="http://schemas.openxmlformats.org/officeDocument/2006/relationships/table" Target="/xl/tables/table22.xml" Id="R14666900d8ab44fb" /></Relationships>
</file>

<file path=xl/worksheets/_rels/sheet25.xml.rels>&#65279;<?xml version="1.0" encoding="utf-8"?><Relationships xmlns="http://schemas.openxmlformats.org/package/2006/relationships"><Relationship Type="http://schemas.openxmlformats.org/officeDocument/2006/relationships/table" Target="/xl/tables/table23.xml" Id="R4c16fff0fd5a4793" /></Relationships>
</file>

<file path=xl/worksheets/_rels/sheet26.xml.rels>&#65279;<?xml version="1.0" encoding="utf-8"?><Relationships xmlns="http://schemas.openxmlformats.org/package/2006/relationships"><Relationship Type="http://schemas.openxmlformats.org/officeDocument/2006/relationships/table" Target="/xl/tables/table24.xml" Id="R91654d1085024fbb"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x:c r="A1" s="5" t="str">
        <x:v>Smart Campus Lab &amp; Resource Optimizer — Processed Inventory + 3NF Database Design</x:v>
      </x:c>
    </x:row>
    <x:row r="3">
      <x:c r="A3" s="18" t="str">
        <x:v>Item</x:v>
      </x:c>
      <x:c r="B3" s="18" t="str">
        <x:v>Details</x:v>
      </x:c>
    </x:row>
    <x:row r="4">
      <x:c r="A4" s="19" t="str">
        <x:v>Purpose</x:v>
      </x:c>
      <x:c r="B4" s="19" t="str">
        <x:v>Converts the uploaded dead-stock PDFs and lab investment list into structured, categorized, implementation-ready data.</x:v>
      </x:c>
    </x:row>
    <x:row r="5">
      <x:c r="A5" s="19" t="str">
        <x:v>Raw equipment rows</x:v>
      </x:c>
      <x:c r="B5" s="19" t="n">
        <x:v>81</x:v>
      </x:c>
    </x:row>
    <x:row r="6">
      <x:c r="A6" s="19" t="str">
        <x:v>Lab records</x:v>
      </x:c>
      <x:c r="B6" s="19" t="n">
        <x:v>12</x:v>
      </x:c>
    </x:row>
    <x:row r="7">
      <x:c r="A7" s="19" t="str">
        <x:v>Normalized suppliers</x:v>
      </x:c>
      <x:c r="B7" s="19" t="n">
        <x:v>7</x:v>
      </x:c>
    </x:row>
    <x:row r="8">
      <x:c r="A8" s="19" t="str">
        <x:v>Normalized model/config records</x:v>
      </x:c>
      <x:c r="B8" s="19" t="n">
        <x:v>55</x:v>
      </x:c>
    </x:row>
    <x:row r="9">
      <x:c r="A9" s="19" t="str">
        <x:v>Inventory events</x:v>
      </x:c>
      <x:c r="B9" s="19" t="n">
        <x:v>12</x:v>
      </x:c>
    </x:row>
    <x:row r="10">
      <x:c r="A10" s="19" t="str">
        <x:v>Existing application DB</x:v>
      </x:c>
      <x:c r="B10" s="19" t="str">
        <x:v>Profiles, campus graph, labs, resources, bookings, scheduling decisions, routes, audit log.</x:v>
      </x:c>
    </x:row>
    <x:row r="11">
      <x:c r="A11" s="19" t="str">
        <x:v>Proposed inventory DB</x:v>
      </x:c>
      <x:c r="B11" s="19" t="str">
        <x:v>Categories, suppliers, equipment models/configurations, purchase batches, asset events and category-specific spec tables.</x:v>
      </x:c>
    </x:row>
    <x:row r="12">
      <x:c r="A12" s="19" t="str">
        <x:v>Important assumption</x:v>
      </x:c>
      <x:c r="B12" s="19" t="str">
        <x:v>Dead Stock Register D-01 ... D-12 is mapped to Lab 1 ... Lab 12 by matching register numbering to the uploaded lab list. Verify once with department records.</x:v>
      </x:c>
    </x:row>
    <x:row r="14">
      <x:c r="A14" s="18" t="str">
        <x:v>Source File</x:v>
      </x:c>
      <x:c r="B14" s="18" t="str">
        <x:v>Use</x:v>
      </x:c>
    </x:row>
    <x:row r="15">
      <x:c r="A15" s="19" t="str">
        <x:v>14.docx</x:v>
      </x:c>
      <x:c r="B15" s="19" t="str">
        <x:v>Lab names and laboratory investment values</x:v>
      </x:c>
    </x:row>
    <x:row r="16">
      <x:c r="A16" s="19" t="str">
        <x:v>Computers.pdf</x:v>
      </x:c>
      <x:c r="B16" s="19" t="str">
        <x:v>Computer dead-stock records</x:v>
      </x:c>
    </x:row>
    <x:row r="17">
      <x:c r="A17" s="19" t="str">
        <x:v>Laptop.pdf</x:v>
      </x:c>
      <x:c r="B17" s="19" t="str">
        <x:v>Laptop dead-stock records</x:v>
      </x:c>
    </x:row>
    <x:row r="18">
      <x:c r="A18" s="19" t="str">
        <x:v>Printer.pdf</x:v>
      </x:c>
      <x:c r="B18" s="19" t="str">
        <x:v>Printer dead-stock records</x:v>
      </x:c>
    </x:row>
    <x:row r="19">
      <x:c r="A19" s="19" t="str">
        <x:v>UPS.pdf</x:v>
      </x:c>
      <x:c r="B19" s="19" t="str">
        <x:v>UPS dead-stock records</x:v>
      </x:c>
    </x:row>
    <x:row r="20">
      <x:c r="A20" s="19" t="str">
        <x:v>Battery.pdf</x:v>
      </x:c>
      <x:c r="B20" s="19" t="str">
        <x:v>Battery dead-stock records</x:v>
      </x:c>
    </x:row>
    <x:row r="21">
      <x:c r="A21" s="19" t="str">
        <x:v>LCD Projector.pdf</x:v>
      </x:c>
      <x:c r="B21" s="19" t="str">
        <x:v>Projector / digital-board dead-stock records</x:v>
      </x:c>
    </x:row>
    <x:row r="22">
      <x:c r="A22" s="19" t="str">
        <x:v>Interactive Panel.pdf</x:v>
      </x:c>
      <x:c r="B22" s="19" t="str">
        <x:v>Interactive panel / OPS-PC records</x:v>
      </x:c>
    </x:row>
    <x:row r="24">
      <x:c r="A24" s="18" t="str">
        <x:v>Data quality note</x:v>
      </x:c>
      <x:c r="B24" s="18" t="str">
        <x:v>Meaning</x:v>
      </x:c>
    </x:row>
    <x:row r="25">
      <x:c r="A25" s="19" t="str">
        <x:v>quantity_primary / quantity_parenthetical</x:v>
      </x:c>
      <x:c r="B25" s="19" t="str">
        <x:v>Both values are preserved from the source quantity cell.</x:v>
      </x:c>
    </x:row>
    <x:row r="26">
      <x:c r="A26" s="19" t="str">
        <x:v>quantity_current_est</x:v>
      </x:c>
      <x:c r="B26" s="19" t="str">
        <x:v>Estimated current quantity. For transferred-out negative rows, parenthetical balance is used.</x:v>
      </x:c>
    </x:row>
    <x:row r="27">
      <x:c r="A27" s="19" t="str">
        <x:v>quantity_original_est</x:v>
      </x:c>
      <x:c r="B27" s="19" t="str">
        <x:v>Estimated original quantity. For partial write-off rows, the larger/original figure is retained.</x:v>
      </x:c>
    </x:row>
    <x:row r="28">
      <x:c r="A28" s="19" t="str">
        <x:v>raw_description</x:v>
      </x:c>
      <x:c r="B28" s="19" t="str">
        <x:v>Always preserved so no source detail is lost even when parsed attributes are blank.</x:v>
      </x:c>
    </x:row>
    <x:row r="29">
      <x:c r="A29" s="19" t="str">
        <x:v>source_file / source_page</x:v>
      </x:c>
      <x:c r="B29" s="19" t="str">
        <x:v>Traceability back to the exact uploaded register.</x:v>
      </x:c>
    </x:row>
    <x:row r="30">
      <x:c r="A30" s="19" t="str">
        <x:v>Blank parsed attribute</x:v>
      </x:c>
      <x:c r="B30" s="19" t="str">
        <x:v>The source did not state it clearly; it was not invented.</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6" hidden="0" customWidth="1"/>
    <x:col min="3" max="3" width="18" hidden="0" customWidth="1"/>
    <x:col min="4" max="4" width="18" hidden="0" customWidth="1"/>
    <x:col min="6" max="6" width="12" hidden="0" customWidth="1"/>
    <x:col min="7" max="7" width="42" hidden="0" customWidth="1"/>
    <x:col min="8" max="8" width="18" hidden="0" customWidth="1"/>
    <x:col min="9" max="9" width="18" hidden="0" customWidth="1"/>
  </x:cols>
  <x:sheetData>
    <x:row r="1">
      <x:c r="A1" s="5" t="str">
        <x:v>Inventory Summary Dashboard</x:v>
      </x:c>
    </x:row>
    <x:row r="3">
      <x:c r="A3" s="13" t="str">
        <x:v>Metric</x:v>
      </x:c>
      <x:c r="B3" s="13" t="str">
        <x:v>Value</x:v>
      </x:c>
      <x:c r="C3" t="str"/>
      <x:c r="D3" t="str"/>
    </x:row>
    <x:row r="4">
      <x:c r="A4" t="str">
        <x:v>Raw inventory records</x:v>
      </x:c>
      <x:c r="B4" t="n">
        <x:f>COUNTA(Raw_Inventory!$A$5:$A$200)</x:f>
        <x:v>81</x:v>
      </x:c>
    </x:row>
    <x:row r="5">
      <x:c r="A5" t="str">
        <x:v>Total current quantity (estimated)</x:v>
      </x:c>
      <x:c r="B5" t="n">
        <x:f>SUM(Raw_Inventory!$R$5:$R$200)</x:f>
        <x:v>432</x:v>
      </x:c>
    </x:row>
    <x:row r="6">
      <x:c r="A6" t="str">
        <x:v>Recorded purchase value</x:v>
      </x:c>
      <x:c r="B6" s="22" t="n">
        <x:f>SUM(Raw_Inventory!$T$5:$T$200)</x:f>
        <x:v>20935512.819999997</x:v>
      </x:c>
    </x:row>
    <x:row r="7">
      <x:c r="A7" t="str">
        <x:v>Labs with equipment data</x:v>
      </x:c>
      <x:c r="B7" t="n">
        <x:f>COUNTA(Lab_Master!$A$5:$A$16)-COUNTIF(Lab_Master!$F$5:$F$16,0)</x:f>
        <x:v>11</x:v>
      </x:c>
    </x:row>
    <x:row r="10">
      <x:c r="A10" s="13" t="str">
        <x:v>Category</x:v>
      </x:c>
      <x:c r="B10" s="13" t="str">
        <x:v>Record Count</x:v>
      </x:c>
      <x:c r="C10" s="13" t="str">
        <x:v>Current Qty (Est.)</x:v>
      </x:c>
      <x:c r="D10" s="13" t="str">
        <x:v>Recorded Value</x:v>
      </x:c>
      <x:c r="F10" s="13" t="str">
        <x:v>Lab Code</x:v>
      </x:c>
      <x:c r="G10" s="13" t="str">
        <x:v>Lab Name</x:v>
      </x:c>
      <x:c r="H10" s="13" t="str">
        <x:v>Current Qty (Est.)</x:v>
      </x:c>
      <x:c r="I10" s="13" t="str">
        <x:v>Recorded Value</x:v>
      </x:c>
    </x:row>
    <x:row r="11">
      <x:c r="A11" t="str">
        <x:v>Computers</x:v>
      </x:c>
      <x:c r="B11" t="n">
        <x:f>COUNTIF(Raw_Inventory!$J$5:$J$200,A11)</x:f>
        <x:v>28</x:v>
      </x:c>
      <x:c r="C11" t="n">
        <x:f>SUMIF(Raw_Inventory!$J$5:$J$200,A11,Raw_Inventory!$R$5:$R$200)</x:f>
        <x:v>336</x:v>
      </x:c>
      <x:c r="D11" s="22" t="n">
        <x:f>SUMIF(Raw_Inventory!$J$5:$J$200,A11,Raw_Inventory!$T$5:$T$200)</x:f>
        <x:v>17895325</x:v>
      </x:c>
      <x:c r="F11" t="str">
        <x:v>D-01</x:v>
      </x:c>
      <x:c r="G11" t="str">
        <x:v>Linux Laboratory</x:v>
      </x:c>
      <x:c r="H11" t="n">
        <x:f>SUMIF(Raw_Inventory!$F$5:$F$200,F11,Raw_Inventory!$R$5:$R$200)</x:f>
        <x:v>42</x:v>
      </x:c>
      <x:c r="I11" s="22" t="n">
        <x:f>SUMIF(Raw_Inventory!$F$5:$F$200,F11,Raw_Inventory!$T$5:$T$200)</x:f>
        <x:v>1257925.8399999999</x:v>
      </x:c>
    </x:row>
    <x:row r="12">
      <x:c r="A12" t="str">
        <x:v>Laptop</x:v>
      </x:c>
      <x:c r="B12" t="n">
        <x:f>COUNTIF(Raw_Inventory!$J$5:$J$200,A12)</x:f>
        <x:v>6</x:v>
      </x:c>
      <x:c r="C12" t="n">
        <x:f>SUMIF(Raw_Inventory!$J$5:$J$200,A12,Raw_Inventory!$R$5:$R$200)</x:f>
        <x:v>6</x:v>
      </x:c>
      <x:c r="D12" s="22" t="n">
        <x:f>SUMIF(Raw_Inventory!$J$5:$J$200,A12,Raw_Inventory!$T$5:$T$200)</x:f>
        <x:v>190050</x:v>
      </x:c>
      <x:c r="F12" t="str">
        <x:v>D-02</x:v>
      </x:c>
      <x:c r="G12" t="str">
        <x:v>Database Laboratory</x:v>
      </x:c>
      <x:c r="H12" t="n">
        <x:f>SUMIF(Raw_Inventory!$F$5:$F$200,F12,Raw_Inventory!$R$5:$R$200)</x:f>
        <x:v>46</x:v>
      </x:c>
      <x:c r="I12" s="22" t="n">
        <x:f>SUMIF(Raw_Inventory!$F$5:$F$200,F12,Raw_Inventory!$T$5:$T$200)</x:f>
        <x:v>2147679</x:v>
      </x:c>
    </x:row>
    <x:row r="13">
      <x:c r="A13" t="str">
        <x:v>Printer</x:v>
      </x:c>
      <x:c r="B13" t="n">
        <x:f>COUNTIF(Raw_Inventory!$J$5:$J$200,A13)</x:f>
        <x:v>11</x:v>
      </x:c>
      <x:c r="C13" t="n">
        <x:f>SUMIF(Raw_Inventory!$J$5:$J$200,A13,Raw_Inventory!$R$5:$R$200)</x:f>
        <x:v>11</x:v>
      </x:c>
      <x:c r="D13" s="22" t="n">
        <x:f>SUMIF(Raw_Inventory!$J$5:$J$200,A13,Raw_Inventory!$T$5:$T$200)</x:f>
        <x:v>158570.98</x:v>
      </x:c>
      <x:c r="F13" t="str">
        <x:v>D-03</x:v>
      </x:c>
      <x:c r="G13" t="str">
        <x:v>Project Laboratory</x:v>
      </x:c>
      <x:c r="H13" t="n">
        <x:f>SUMIF(Raw_Inventory!$F$5:$F$200,F13,Raw_Inventory!$R$5:$R$200)</x:f>
        <x:v>49</x:v>
      </x:c>
      <x:c r="I13" s="22" t="n">
        <x:f>SUMIF(Raw_Inventory!$F$5:$F$200,F13,Raw_Inventory!$T$5:$T$200)</x:f>
        <x:v>1914613</x:v>
      </x:c>
    </x:row>
    <x:row r="14">
      <x:c r="A14" t="str">
        <x:v>UPS</x:v>
      </x:c>
      <x:c r="B14" t="n">
        <x:f>COUNTIF(Raw_Inventory!$J$5:$J$200,A14)</x:f>
        <x:v>17</x:v>
      </x:c>
      <x:c r="C14" t="n">
        <x:f>SUMIF(Raw_Inventory!$J$5:$J$200,A14,Raw_Inventory!$R$5:$R$200)</x:f>
        <x:v>18</x:v>
      </x:c>
      <x:c r="D14" s="22" t="n">
        <x:f>SUMIF(Raw_Inventory!$J$5:$J$200,A14,Raw_Inventory!$T$5:$T$200)</x:f>
        <x:v>1785299</x:v>
      </x:c>
      <x:c r="F14" t="str">
        <x:v>D-04</x:v>
      </x:c>
      <x:c r="G14" t="str">
        <x:v>Application Development Tool Laboratory</x:v>
      </x:c>
      <x:c r="H14" t="n">
        <x:f>SUMIF(Raw_Inventory!$F$5:$F$200,F14,Raw_Inventory!$R$5:$R$200)</x:f>
        <x:v>17</x:v>
      </x:c>
      <x:c r="I14" s="22" t="n">
        <x:f>SUMIF(Raw_Inventory!$F$5:$F$200,F14,Raw_Inventory!$T$5:$T$200)</x:f>
        <x:v>662400</x:v>
      </x:c>
    </x:row>
    <x:row r="15">
      <x:c r="A15" t="str">
        <x:v>Battery</x:v>
      </x:c>
      <x:c r="B15" t="n">
        <x:f>COUNTIF(Raw_Inventory!$J$5:$J$200,A15)</x:f>
        <x:v>4</x:v>
      </x:c>
      <x:c r="C15" t="n">
        <x:f>SUMIF(Raw_Inventory!$J$5:$J$200,A15,Raw_Inventory!$R$5:$R$200)</x:f>
        <x:v>46</x:v>
      </x:c>
      <x:c r="D15" s="22" t="n">
        <x:f>SUMIF(Raw_Inventory!$J$5:$J$200,A15,Raw_Inventory!$T$5:$T$200)</x:f>
        <x:v>246969.84</x:v>
      </x:c>
      <x:c r="F15" t="str">
        <x:v>D-05</x:v>
      </x:c>
      <x:c r="G15" t="str">
        <x:v>Operating System Laboratory</x:v>
      </x:c>
      <x:c r="H15" t="n">
        <x:f>SUMIF(Raw_Inventory!$F$5:$F$200,F15,Raw_Inventory!$R$5:$R$200)</x:f>
        <x:v>38</x:v>
      </x:c>
      <x:c r="I15" s="22" t="n">
        <x:f>SUMIF(Raw_Inventory!$F$5:$F$200,F15,Raw_Inventory!$T$5:$T$200)</x:f>
        <x:v>2156515</x:v>
      </x:c>
    </x:row>
    <x:row r="16">
      <x:c r="A16" t="str">
        <x:v>LCD Projector</x:v>
      </x:c>
      <x:c r="B16" t="n">
        <x:f>COUNTIF(Raw_Inventory!$J$5:$J$200,A16)</x:f>
        <x:v>13</x:v>
      </x:c>
      <x:c r="C16" t="n">
        <x:f>SUMIF(Raw_Inventory!$J$5:$J$200,A16,Raw_Inventory!$R$5:$R$200)</x:f>
        <x:v>13</x:v>
      </x:c>
      <x:c r="D16" s="22" t="n">
        <x:f>SUMIF(Raw_Inventory!$J$5:$J$200,A16,Raw_Inventory!$T$5:$T$200)</x:f>
        <x:v>505898</x:v>
      </x:c>
      <x:c r="F16" t="str">
        <x:v>D-06</x:v>
      </x:c>
      <x:c r="G16" t="str">
        <x:v>Web Development Tool Lab</x:v>
      </x:c>
      <x:c r="H16" t="n">
        <x:f>SUMIF(Raw_Inventory!$F$5:$F$200,F16,Raw_Inventory!$R$5:$R$200)</x:f>
        <x:v>27</x:v>
      </x:c>
      <x:c r="I16" s="22" t="n">
        <x:f>SUMIF(Raw_Inventory!$F$5:$F$200,F16,Raw_Inventory!$T$5:$T$200)</x:f>
        <x:v>1162798.99</x:v>
      </x:c>
    </x:row>
    <x:row r="17">
      <x:c r="A17" t="str">
        <x:v>Interactive Panel</x:v>
      </x:c>
      <x:c r="B17" t="n">
        <x:f>COUNTIF(Raw_Inventory!$J$5:$J$200,A17)</x:f>
        <x:v>2</x:v>
      </x:c>
      <x:c r="C17" t="n">
        <x:f>SUMIF(Raw_Inventory!$J$5:$J$200,A17,Raw_Inventory!$R$5:$R$200)</x:f>
        <x:v>2</x:v>
      </x:c>
      <x:c r="D17" s="22" t="n">
        <x:f>SUMIF(Raw_Inventory!$J$5:$J$200,A17,Raw_Inventory!$T$5:$T$200)</x:f>
        <x:v>153400</x:v>
      </x:c>
      <x:c r="F17" t="str">
        <x:v>D-07</x:v>
      </x:c>
      <x:c r="G17" t="str">
        <x:v>Network Laboratory</x:v>
      </x:c>
      <x:c r="H17" t="n">
        <x:f>SUMIF(Raw_Inventory!$F$5:$F$200,F17,Raw_Inventory!$R$5:$R$200)</x:f>
        <x:v>40</x:v>
      </x:c>
      <x:c r="I17" s="22" t="n">
        <x:f>SUMIF(Raw_Inventory!$F$5:$F$200,F17,Raw_Inventory!$T$5:$T$200)</x:f>
        <x:v>2271006</x:v>
      </x:c>
    </x:row>
    <x:row r="18">
      <x:c r="F18" t="str">
        <x:v>D-08</x:v>
      </x:c>
      <x:c r="G18" t="str">
        <x:v>Artificial Intelligence &amp; Machine Learning Laboratory</x:v>
      </x:c>
      <x:c r="H18" t="n">
        <x:f>SUMIF(Raw_Inventory!$F$5:$F$200,F18,Raw_Inventory!$R$5:$R$200)</x:f>
        <x:v>50</x:v>
      </x:c>
      <x:c r="I18" s="22" t="n">
        <x:f>SUMIF(Raw_Inventory!$F$5:$F$200,F18,Raw_Inventory!$T$5:$T$200)</x:f>
        <x:v>1535135</x:v>
      </x:c>
    </x:row>
    <x:row r="19">
      <x:c r="F19" t="str">
        <x:v>D-09</x:v>
      </x:c>
      <x:c r="G19" t="str">
        <x:v>Apple Education Center Laboratory</x:v>
      </x:c>
      <x:c r="H19" t="n">
        <x:f>SUMIF(Raw_Inventory!$F$5:$F$200,F19,Raw_Inventory!$R$5:$R$200)</x:f>
        <x:v>65</x:v>
      </x:c>
      <x:c r="I19" s="22" t="n">
        <x:f>SUMIF(Raw_Inventory!$F$5:$F$200,F19,Raw_Inventory!$T$5:$T$200)</x:f>
        <x:v>4698904.99</x:v>
      </x:c>
    </x:row>
    <x:row r="20">
      <x:c r="F20" t="str">
        <x:v>D-10</x:v>
      </x:c>
      <x:c r="G20" t="str">
        <x:v>PG laboratory-1</x:v>
      </x:c>
      <x:c r="H20" t="n">
        <x:f>SUMIF(Raw_Inventory!$F$5:$F$200,F20,Raw_Inventory!$R$5:$R$200)</x:f>
        <x:v>34</x:v>
      </x:c>
      <x:c r="I20" s="22" t="n">
        <x:f>SUMIF(Raw_Inventory!$F$5:$F$200,F20,Raw_Inventory!$T$5:$T$200)</x:f>
        <x:v>1210488</x:v>
      </x:c>
    </x:row>
    <x:row r="21">
      <x:c r="F21" t="str">
        <x:v>D-11</x:v>
      </x:c>
      <x:c r="G21" t="str">
        <x:v>PG laboratory-2</x:v>
      </x:c>
      <x:c r="H21" t="n">
        <x:f>SUMIF(Raw_Inventory!$F$5:$F$200,F21,Raw_Inventory!$R$5:$R$200)</x:f>
        <x:v>24</x:v>
      </x:c>
      <x:c r="I21" s="22" t="n">
        <x:f>SUMIF(Raw_Inventory!$F$5:$F$200,F21,Raw_Inventory!$T$5:$T$200)</x:f>
        <x:v>1918047</x:v>
      </x:c>
    </x:row>
    <x:row r="22">
      <x:c r="F22" t="str">
        <x:v>D-12</x:v>
      </x:c>
      <x:c r="G22" t="str">
        <x:v>Augmented Reality/ Virtual Reality Laboratory (ARVR LAB)</x:v>
      </x:c>
      <x:c r="H22" t="n">
        <x:f>SUMIF(Raw_Inventory!$F$5:$F$200,F22,Raw_Inventory!$R$5:$R$200)</x:f>
        <x:v>0</x:v>
      </x:c>
      <x:c r="I22" s="22" t="n">
        <x:f>SUMIF(Raw_Inventory!$F$5:$F$200,F22,Raw_Inventory!$T$5:$T$200)</x:f>
        <x:v>0</x:v>
      </x:c>
    </x:row>
  </x:sheetData>
  <x:mergeCells>
    <x:mergeCell ref="A1:H1"/>
  </x:mergeCells>
  <x:pageMargins left="0.7" right="0.7" top="0.75" bottom="0.75" header="0.3" footer="0.3"/>
  <x:drawing xmlns:r="http://schemas.openxmlformats.org/officeDocument/2006/relationships" r:id="R4a4147a895a64409"/>
</x:worksheet>
</file>

<file path=xl/worksheets/sheet3.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4" hidden="0" customWidth="1"/>
    <x:col min="5" max="5" width="14" hidden="0" customWidth="1"/>
    <x:col min="6" max="6" width="14" hidden="0" customWidth="1"/>
    <x:col min="7" max="7" width="14" hidden="0" customWidth="1"/>
  </x:cols>
  <x:sheetData>
    <x:row r="1">
      <x:c r="A1" s="5" t="str">
        <x:v>Lab Master (D-01 to D-12 mapping)</x:v>
      </x:c>
    </x:row>
    <x:row r="2">
      <x:c r="A2" s="24" t="str">
        <x:v>Rows: 12</x:v>
      </x:c>
    </x:row>
    <x:row r="4">
      <x:c r="A4" s="18" t="str">
        <x:v>lab_id</x:v>
      </x:c>
      <x:c r="B4" s="18" t="str">
        <x:v>lab_code</x:v>
      </x:c>
      <x:c r="C4" s="18" t="str">
        <x:v>lab_name</x:v>
      </x:c>
      <x:c r="D4" s="18" t="str">
        <x:v>investment</x:v>
      </x:c>
      <x:c r="E4" s="18" t="str">
        <x:v>inventory_record_count</x:v>
      </x:c>
      <x:c r="F4" s="18" t="str">
        <x:v>current_quantity_est</x:v>
      </x:c>
      <x:c r="G4" s="18" t="str">
        <x:v>recorded_inventory_value</x:v>
      </x:c>
    </x:row>
    <x:row r="5">
      <x:c r="A5" s="19" t="str">
        <x:v>LAB001</x:v>
      </x:c>
      <x:c r="B5" s="19" t="str">
        <x:v>D-01</x:v>
      </x:c>
      <x:c r="C5" s="19" t="str">
        <x:v>Linux Laboratory</x:v>
      </x:c>
      <x:c r="D5" s="26" t="n">
        <x:v>1419544.04</x:v>
      </x:c>
      <x:c r="E5" s="19" t="n">
        <x:f>COUNTIF(Raw_Inventory!$F$5:$F$200,B5)</x:f>
        <x:v>7</x:v>
      </x:c>
      <x:c r="F5" s="19" t="n">
        <x:f>SUMIF(Raw_Inventory!$F$5:$F$200,B5,Raw_Inventory!$R$5:$R$200)</x:f>
        <x:v>42</x:v>
      </x:c>
      <x:c r="G5" s="26" t="n">
        <x:f>SUMIF(Raw_Inventory!$F$5:$F$200,B5,Raw_Inventory!$T$5:$T$200)</x:f>
        <x:v>1257925.8399999999</x:v>
      </x:c>
    </x:row>
    <x:row r="6">
      <x:c r="A6" s="19" t="str">
        <x:v>LAB002</x:v>
      </x:c>
      <x:c r="B6" s="19" t="str">
        <x:v>D-02</x:v>
      </x:c>
      <x:c r="C6" s="19" t="str">
        <x:v>Database Laboratory</x:v>
      </x:c>
      <x:c r="D6" s="26" t="n">
        <x:v>3601318</x:v>
      </x:c>
      <x:c r="E6" s="19" t="n">
        <x:f>COUNTIF(Raw_Inventory!$F$5:$F$200,B6)</x:f>
        <x:v>9</x:v>
      </x:c>
      <x:c r="F6" s="19" t="n">
        <x:f>SUMIF(Raw_Inventory!$F$5:$F$200,B6,Raw_Inventory!$R$5:$R$200)</x:f>
        <x:v>46</x:v>
      </x:c>
      <x:c r="G6" s="26" t="n">
        <x:f>SUMIF(Raw_Inventory!$F$5:$F$200,B6,Raw_Inventory!$T$5:$T$200)</x:f>
        <x:v>2147679</x:v>
      </x:c>
    </x:row>
    <x:row r="7">
      <x:c r="A7" s="19" t="str">
        <x:v>LAB003</x:v>
      </x:c>
      <x:c r="B7" s="19" t="str">
        <x:v>D-03</x:v>
      </x:c>
      <x:c r="C7" s="19" t="str">
        <x:v>Project Laboratory</x:v>
      </x:c>
      <x:c r="D7" s="26" t="n">
        <x:v>2603775</x:v>
      </x:c>
      <x:c r="E7" s="19" t="n">
        <x:f>COUNTIF(Raw_Inventory!$F$5:$F$200,B7)</x:f>
        <x:v>9</x:v>
      </x:c>
      <x:c r="F7" s="19" t="n">
        <x:f>SUMIF(Raw_Inventory!$F$5:$F$200,B7,Raw_Inventory!$R$5:$R$200)</x:f>
        <x:v>49</x:v>
      </x:c>
      <x:c r="G7" s="26" t="n">
        <x:f>SUMIF(Raw_Inventory!$F$5:$F$200,B7,Raw_Inventory!$T$5:$T$200)</x:f>
        <x:v>1914613</x:v>
      </x:c>
    </x:row>
    <x:row r="8">
      <x:c r="A8" s="19" t="str">
        <x:v>LAB004</x:v>
      </x:c>
      <x:c r="B8" s="19" t="str">
        <x:v>D-04</x:v>
      </x:c>
      <x:c r="C8" s="19" t="str">
        <x:v>Application Development Tool Laboratory</x:v>
      </x:c>
      <x:c r="D8" s="26" t="n">
        <x:v>1459513</x:v>
      </x:c>
      <x:c r="E8" s="19" t="n">
        <x:f>COUNTIF(Raw_Inventory!$F$5:$F$200,B8)</x:f>
        <x:v>8</x:v>
      </x:c>
      <x:c r="F8" s="19" t="n">
        <x:f>SUMIF(Raw_Inventory!$F$5:$F$200,B8,Raw_Inventory!$R$5:$R$200)</x:f>
        <x:v>17</x:v>
      </x:c>
      <x:c r="G8" s="26" t="n">
        <x:f>SUMIF(Raw_Inventory!$F$5:$F$200,B8,Raw_Inventory!$T$5:$T$200)</x:f>
        <x:v>662400</x:v>
      </x:c>
    </x:row>
    <x:row r="9">
      <x:c r="A9" s="19" t="str">
        <x:v>LAB005</x:v>
      </x:c>
      <x:c r="B9" s="19" t="str">
        <x:v>D-05</x:v>
      </x:c>
      <x:c r="C9" s="19" t="str">
        <x:v>Operating System Laboratory</x:v>
      </x:c>
      <x:c r="D9" s="26" t="n">
        <x:v>2664951.5</x:v>
      </x:c>
      <x:c r="E9" s="19" t="n">
        <x:f>COUNTIF(Raw_Inventory!$F$5:$F$200,B9)</x:f>
        <x:v>8</x:v>
      </x:c>
      <x:c r="F9" s="19" t="n">
        <x:f>SUMIF(Raw_Inventory!$F$5:$F$200,B9,Raw_Inventory!$R$5:$R$200)</x:f>
        <x:v>38</x:v>
      </x:c>
      <x:c r="G9" s="26" t="n">
        <x:f>SUMIF(Raw_Inventory!$F$5:$F$200,B9,Raw_Inventory!$T$5:$T$200)</x:f>
        <x:v>2156515</x:v>
      </x:c>
    </x:row>
    <x:row r="10">
      <x:c r="A10" s="19" t="str">
        <x:v>LAB006</x:v>
      </x:c>
      <x:c r="B10" s="19" t="str">
        <x:v>D-06</x:v>
      </x:c>
      <x:c r="C10" s="19" t="str">
        <x:v>Web Development Tool Lab</x:v>
      </x:c>
      <x:c r="D10" s="26" t="n">
        <x:v>2025848.99</x:v>
      </x:c>
      <x:c r="E10" s="19" t="n">
        <x:f>COUNTIF(Raw_Inventory!$F$5:$F$200,B10)</x:f>
        <x:v>6</x:v>
      </x:c>
      <x:c r="F10" s="19" t="n">
        <x:f>SUMIF(Raw_Inventory!$F$5:$F$200,B10,Raw_Inventory!$R$5:$R$200)</x:f>
        <x:v>27</x:v>
      </x:c>
      <x:c r="G10" s="26" t="n">
        <x:f>SUMIF(Raw_Inventory!$F$5:$F$200,B10,Raw_Inventory!$T$5:$T$200)</x:f>
        <x:v>1162798.99</x:v>
      </x:c>
    </x:row>
    <x:row r="11">
      <x:c r="A11" s="19" t="str">
        <x:v>LAB007</x:v>
      </x:c>
      <x:c r="B11" s="19" t="str">
        <x:v>D-07</x:v>
      </x:c>
      <x:c r="C11" s="19" t="str">
        <x:v>Network Laboratory</x:v>
      </x:c>
      <x:c r="D11" s="26" t="n">
        <x:v>2759191.89</x:v>
      </x:c>
      <x:c r="E11" s="19" t="n">
        <x:f>COUNTIF(Raw_Inventory!$F$5:$F$200,B11)</x:f>
        <x:v>11</x:v>
      </x:c>
      <x:c r="F11" s="19" t="n">
        <x:f>SUMIF(Raw_Inventory!$F$5:$F$200,B11,Raw_Inventory!$R$5:$R$200)</x:f>
        <x:v>40</x:v>
      </x:c>
      <x:c r="G11" s="26" t="n">
        <x:f>SUMIF(Raw_Inventory!$F$5:$F$200,B11,Raw_Inventory!$T$5:$T$200)</x:f>
        <x:v>2271006</x:v>
      </x:c>
    </x:row>
    <x:row r="12">
      <x:c r="A12" s="19" t="str">
        <x:v>LAB008</x:v>
      </x:c>
      <x:c r="B12" s="19" t="str">
        <x:v>D-08</x:v>
      </x:c>
      <x:c r="C12" s="19" t="str">
        <x:v>Artificial Intelligence &amp; Machine Learning Laboratory</x:v>
      </x:c>
      <x:c r="D12" s="26" t="n">
        <x:v>2572968.8</x:v>
      </x:c>
      <x:c r="E12" s="19" t="n">
        <x:f>COUNTIF(Raw_Inventory!$F$5:$F$200,B12)</x:f>
        <x:v>9</x:v>
      </x:c>
      <x:c r="F12" s="19" t="n">
        <x:f>SUMIF(Raw_Inventory!$F$5:$F$200,B12,Raw_Inventory!$R$5:$R$200)</x:f>
        <x:v>50</x:v>
      </x:c>
      <x:c r="G12" s="26" t="n">
        <x:f>SUMIF(Raw_Inventory!$F$5:$F$200,B12,Raw_Inventory!$T$5:$T$200)</x:f>
        <x:v>1535135</x:v>
      </x:c>
    </x:row>
    <x:row r="13">
      <x:c r="A13" s="19" t="str">
        <x:v>LAB009</x:v>
      </x:c>
      <x:c r="B13" s="19" t="str">
        <x:v>D-09</x:v>
      </x:c>
      <x:c r="C13" s="19" t="str">
        <x:v>Apple Education Center Laboratory</x:v>
      </x:c>
      <x:c r="D13" s="26" t="n">
        <x:v>5470034.99</x:v>
      </x:c>
      <x:c r="E13" s="19" t="n">
        <x:f>COUNTIF(Raw_Inventory!$F$5:$F$200,B13)</x:f>
        <x:v>7</x:v>
      </x:c>
      <x:c r="F13" s="19" t="n">
        <x:f>SUMIF(Raw_Inventory!$F$5:$F$200,B13,Raw_Inventory!$R$5:$R$200)</x:f>
        <x:v>65</x:v>
      </x:c>
      <x:c r="G13" s="26" t="n">
        <x:f>SUMIF(Raw_Inventory!$F$5:$F$200,B13,Raw_Inventory!$T$5:$T$200)</x:f>
        <x:v>4698904.99</x:v>
      </x:c>
    </x:row>
    <x:row r="14">
      <x:c r="A14" s="19" t="str">
        <x:v>LAB010</x:v>
      </x:c>
      <x:c r="B14" s="19" t="str">
        <x:v>D-10</x:v>
      </x:c>
      <x:c r="C14" s="19" t="str">
        <x:v>PG laboratory-1</x:v>
      </x:c>
      <x:c r="D14" s="26" t="n">
        <x:v>1492856</x:v>
      </x:c>
      <x:c r="E14" s="19" t="n">
        <x:f>COUNTIF(Raw_Inventory!$F$5:$F$200,B14)</x:f>
        <x:v>4</x:v>
      </x:c>
      <x:c r="F14" s="19" t="n">
        <x:f>SUMIF(Raw_Inventory!$F$5:$F$200,B14,Raw_Inventory!$R$5:$R$200)</x:f>
        <x:v>34</x:v>
      </x:c>
      <x:c r="G14" s="26" t="n">
        <x:f>SUMIF(Raw_Inventory!$F$5:$F$200,B14,Raw_Inventory!$T$5:$T$200)</x:f>
        <x:v>1210488</x:v>
      </x:c>
    </x:row>
    <x:row r="15">
      <x:c r="A15" s="19" t="str">
        <x:v>LAB011</x:v>
      </x:c>
      <x:c r="B15" s="19" t="str">
        <x:v>D-11</x:v>
      </x:c>
      <x:c r="C15" s="19" t="str">
        <x:v>PG laboratory-2</x:v>
      </x:c>
      <x:c r="D15" s="26" t="n">
        <x:v>2083780</x:v>
      </x:c>
      <x:c r="E15" s="19" t="n">
        <x:f>COUNTIF(Raw_Inventory!$F$5:$F$200,B15)</x:f>
        <x:v>3</x:v>
      </x:c>
      <x:c r="F15" s="19" t="n">
        <x:f>SUMIF(Raw_Inventory!$F$5:$F$200,B15,Raw_Inventory!$R$5:$R$200)</x:f>
        <x:v>24</x:v>
      </x:c>
      <x:c r="G15" s="26" t="n">
        <x:f>SUMIF(Raw_Inventory!$F$5:$F$200,B15,Raw_Inventory!$T$5:$T$200)</x:f>
        <x:v>1918047</x:v>
      </x:c>
    </x:row>
    <x:row r="16">
      <x:c r="A16" s="19" t="str">
        <x:v>LAB012</x:v>
      </x:c>
      <x:c r="B16" s="19" t="str">
        <x:v>D-12</x:v>
      </x:c>
      <x:c r="C16" s="19" t="str">
        <x:v>Augmented Reality/ Virtual Reality Laboratory (ARVR LAB)</x:v>
      </x:c>
      <x:c r="D16" s="26" t="n">
        <x:v>6046650</x:v>
      </x:c>
      <x:c r="E16" s="19" t="n">
        <x:f>COUNTIF(Raw_Inventory!$F$5:$F$200,B16)</x:f>
        <x:v>0</x:v>
      </x:c>
      <x:c r="F16" s="19" t="n">
        <x:f>SUMIF(Raw_Inventory!$F$5:$F$200,B16,Raw_Inventory!$R$5:$R$200)</x:f>
        <x:v>0</x:v>
      </x:c>
      <x:c r="G16" s="26" t="n">
        <x:f>SUMIF(Raw_Inventory!$F$5:$F$200,B16,Raw_Inventory!$T$5:$T$200)</x:f>
        <x:v>0</x:v>
      </x:c>
    </x:row>
  </x:sheetData>
  <x:mergeCells>
    <x:mergeCell ref="A1:G1"/>
  </x:mergeCells>
  <x:pageMargins left="0.7" right="0.7" top="0.75" bottom="0.75" header="0.3" footer="0.3"/>
  <x:tableParts count="1">
    <x:tablePart xmlns:r="http://schemas.openxmlformats.org/officeDocument/2006/relationships" r:id="Re67757b7d3164bff"/>
  </x:tableParts>
</x:worksheet>
</file>

<file path=xl/worksheets/sheet4.xml><?xml version="1.0" encoding="utf-8"?>
<x:worksheet xmlns:x="http://schemas.openxmlformats.org/spreadsheetml/2006/main">
  <x:sheetFormatPr defaultRowHeight="15"/>
  <x:cols>
    <x:col min="1" max="1" width="13" hidden="0" customWidth="1"/>
    <x:col min="2" max="2" width="13" hidden="0" customWidth="1"/>
    <x:col min="3" max="3" width="14" hidden="0" customWidth="1"/>
    <x:col min="4" max="4" width="14" hidden="0" customWidth="1"/>
    <x:col min="5" max="5" width="13" hidden="0" customWidth="1"/>
    <x:col min="6" max="6" width="13" hidden="0" customWidth="1"/>
    <x:col min="7" max="7" width="22" hidden="0" customWidth="1"/>
    <x:col min="8" max="8" width="13" hidden="0" customWidth="1"/>
    <x:col min="9" max="9" width="13" hidden="0" customWidth="1"/>
    <x:col min="10" max="10" width="14" hidden="0" customWidth="1"/>
    <x:col min="11" max="11" width="14" hidden="0" customWidth="1"/>
    <x:col min="12" max="12" width="22" hidden="0" customWidth="1"/>
    <x:col min="13" max="13" width="22" hidden="0" customWidth="1"/>
    <x:col min="14" max="14" width="3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22" hidden="0" customWidth="1"/>
    <x:col min="22" max="22" width="22" hidden="0" customWidth="1"/>
    <x:col min="23" max="23" width="45" hidden="0" customWidth="1"/>
    <x:col min="24" max="24" width="13" hidden="0" customWidth="1"/>
    <x:col min="25" max="25" width="22" hidden="0" customWidth="1"/>
    <x:col min="26" max="26" width="20" hidden="0" customWidth="1"/>
    <x:col min="27" max="27" width="42" hidden="0" customWidth="1"/>
    <x:col min="28" max="28" width="14" hidden="0" customWidth="1"/>
    <x:col min="29" max="29" width="50" hidden="0" customWidth="1"/>
  </x:cols>
  <x:sheetData>
    <x:row r="1">
      <x:c r="A1" s="5" t="str">
        <x:v>Raw / Staging Inventory — source-preserving extract</x:v>
      </x:c>
    </x:row>
    <x:row r="2">
      <x:c r="A2" s="24" t="str">
        <x:v>Rows: 81</x:v>
      </x:c>
    </x:row>
    <x:row r="4" ht="34" customHeight="1">
      <x:c r="A4" s="18" t="str">
        <x:v>record_id</x:v>
      </x:c>
      <x:c r="B4" s="18" t="str">
        <x:v>batch_id</x:v>
      </x:c>
      <x:c r="C4" s="18" t="str">
        <x:v>source_file</x:v>
      </x:c>
      <x:c r="D4" s="18" t="str">
        <x:v>source_page</x:v>
      </x:c>
      <x:c r="E4" s="18" t="str">
        <x:v>lab_id</x:v>
      </x:c>
      <x:c r="F4" s="18" t="str">
        <x:v>lab_code</x:v>
      </x:c>
      <x:c r="G4" s="18" t="str">
        <x:v>lab_name</x:v>
      </x:c>
      <x:c r="H4" s="18" t="str">
        <x:v>dead_stock_sr_no</x:v>
      </x:c>
      <x:c r="I4" s="18" t="str">
        <x:v>category_id</x:v>
      </x:c>
      <x:c r="J4" s="18" t="str">
        <x:v>category</x:v>
      </x:c>
      <x:c r="K4" s="18" t="str">
        <x:v>brand</x:v>
      </x:c>
      <x:c r="L4" s="18" t="str">
        <x:v>model_name</x:v>
      </x:c>
      <x:c r="M4" s="18" t="str">
        <x:v>model_id</x:v>
      </x:c>
      <x:c r="N4" s="18" t="str">
        <x:v>qty_raw</x:v>
      </x:c>
      <x:c r="O4" s="18" t="str">
        <x:v>quantity_primary</x:v>
      </x:c>
      <x:c r="P4" s="18" t="str">
        <x:v>quantity_parenthetical</x:v>
      </x:c>
      <x:c r="Q4" s="18" t="str">
        <x:v>quantity_original_est</x:v>
      </x:c>
      <x:c r="R4" s="18" t="str">
        <x:v>quantity_current_est</x:v>
      </x:c>
      <x:c r="S4" s="18" t="str">
        <x:v>unit_rate</x:v>
      </x:c>
      <x:c r="T4" s="18" t="str">
        <x:v>total_cost</x:v>
      </x:c>
      <x:c r="U4" s="18" t="str">
        <x:v>supplier_id</x:v>
      </x:c>
      <x:c r="V4" s="18" t="str">
        <x:v>supplier_name</x:v>
      </x:c>
      <x:c r="W4" s="18" t="str">
        <x:v>supplier_raw</x:v>
      </x:c>
      <x:c r="X4" s="18" t="str">
        <x:v>purchase_date</x:v>
      </x:c>
      <x:c r="Y4" s="18" t="str">
        <x:v>reference_no</x:v>
      </x:c>
      <x:c r="Z4" s="18" t="str">
        <x:v>transfer_details</x:v>
      </x:c>
      <x:c r="AA4" s="18" t="str">
        <x:v>writeoff_details</x:v>
      </x:c>
      <x:c r="AB4" s="18" t="str">
        <x:v>status</x:v>
      </x:c>
      <x:c r="AC4" s="18" t="str">
        <x:v>raw_description</x:v>
      </x:c>
    </x:row>
    <x:row r="5" ht="34" customHeight="1">
      <x:c r="A5" s="19" t="str">
        <x:v>REC0001</x:v>
      </x:c>
      <x:c r="B5" s="19" t="str">
        <x:v>BAT0001</x:v>
      </x:c>
      <x:c r="C5" s="19" t="str">
        <x:v>Battery.pdf</x:v>
      </x:c>
      <x:c r="D5" s="19" t="n">
        <x:v>1</x:v>
      </x:c>
      <x:c r="E5" s="19" t="str">
        <x:v>LAB001</x:v>
      </x:c>
      <x:c r="F5" s="19" t="str">
        <x:v>D-01</x:v>
      </x:c>
      <x:c r="G5" s="19" t="str">
        <x:v>Linux Laboratory</x:v>
      </x:c>
      <x:c r="H5" s="19" t="str">
        <x:v>027</x:v>
      </x:c>
      <x:c r="I5" s="19" t="str">
        <x:v>CAT05</x:v>
      </x:c>
      <x:c r="J5" s="19" t="str">
        <x:v>Battery</x:v>
      </x:c>
      <x:c r="K5" s="19" t="str">
        <x:v>HBL</x:v>
      </x:c>
      <x:c r="L5" s="19" t="str">
        <x:v>12V 80Ah Triumph-HP</x:v>
      </x:c>
      <x:c r="M5" s="19" t="str">
        <x:v>MOD001</x:v>
      </x:c>
      <x:c r="N5" s="19" t="str">
        <x:v>16 (16)</x:v>
      </x:c>
      <x:c r="O5" s="19" t="n">
        <x:v>16</x:v>
      </x:c>
      <x:c r="P5" s="19" t="n">
        <x:v>16</x:v>
      </x:c>
      <x:c r="Q5" s="19" t="n">
        <x:v>16</x:v>
      </x:c>
      <x:c r="R5" s="19" t="n">
        <x:v>16</x:v>
      </x:c>
      <x:c r="S5" s="26" t="n">
        <x:v>6999.99</x:v>
      </x:c>
      <x:c r="T5" s="26" t="n">
        <x:v>111999.84</x:v>
      </x:c>
      <x:c r="U5" s="19" t="str">
        <x:v>SUP006</x:v>
      </x:c>
      <x:c r="V5" s="19" t="str">
        <x:v>Prasa Sales P. Ltd.</x:v>
      </x:c>
      <x:c r="W5" s="19" t="str">
        <x:v>Prasa Sales P. Ltd., (06-07) Survey No. 271/8 A/p Bhugaon, Tal- Mulshi, Dist- Pune</x:v>
      </x:c>
      <x:c r="X5" s="28" t="n">
        <x:v>38957</x:v>
      </x:c>
      <x:c r="Y5" s="19" t="str">
        <x:v>2006-271</x:v>
      </x:c>
      <x:c r="Z5" s="19" t="str">
        <x:v>-</x:v>
      </x:c>
      <x:c r="AA5" s="19" t="str">
        <x:v>-</x:v>
      </x:c>
      <x:c r="AB5" s="19" t="str">
        <x:v>ACTIVE/RECORDED</x:v>
      </x:c>
      <x:c r="AC5" s="19" t="str">
        <x:v>Battery System For Online UPS (12V, 80 AH HBL (TRIUMPH-HP) ( + 12.5 % VAT) TRIUMPH-HP</x:v>
      </x:c>
    </x:row>
    <x:row r="6" ht="34" customHeight="1">
      <x:c r="A6" s="19" t="str">
        <x:v>REC0002</x:v>
      </x:c>
      <x:c r="B6" s="19" t="str">
        <x:v>BAT0002</x:v>
      </x:c>
      <x:c r="C6" s="19" t="str">
        <x:v>Battery.pdf</x:v>
      </x:c>
      <x:c r="D6" s="19" t="n">
        <x:v>2</x:v>
      </x:c>
      <x:c r="E6" s="19" t="str">
        <x:v>LAB008</x:v>
      </x:c>
      <x:c r="F6" s="19" t="str">
        <x:v>D-08</x:v>
      </x:c>
      <x:c r="G6" s="19" t="str">
        <x:v>Artificial Intelligence &amp; Machine Learning Laboratory</x:v>
      </x:c>
      <x:c r="H6" s="19" t="str">
        <x:v>020</x:v>
      </x:c>
      <x:c r="I6" s="19" t="str">
        <x:v>CAT05</x:v>
      </x:c>
      <x:c r="J6" s="19" t="str">
        <x:v>Battery</x:v>
      </x:c>
      <x:c r="K6" s="19" t="str">
        <x:v>Quanta</x:v>
      </x:c>
      <x:c r="L6" s="19" t="str">
        <x:v>12V 42Ah SMF</x:v>
      </x:c>
      <x:c r="M6" s="19" t="str">
        <x:v>MOD002</x:v>
      </x:c>
      <x:c r="N6" s="19" t="str">
        <x:v>18 (18)</x:v>
      </x:c>
      <x:c r="O6" s="19" t="n">
        <x:v>18</x:v>
      </x:c>
      <x:c r="P6" s="19" t="n">
        <x:v>18</x:v>
      </x:c>
      <x:c r="Q6" s="19" t="n">
        <x:v>18</x:v>
      </x:c>
      <x:c r="R6" s="19" t="n">
        <x:v>18</x:v>
      </x:c>
      <x:c r="S6" s="26" t="n">
        <x:v>4499</x:v>
      </x:c>
      <x:c r="T6" s="26" t="n">
        <x:v>80982</x:v>
      </x:c>
      <x:c r="U6" s="19" t="str">
        <x:v>SUP007</x:v>
      </x:c>
      <x:c r="V6" s="19" t="str">
        <x:v>Veetrag Computers Private Ltd.</x:v>
      </x:c>
      <x:c r="W6" s="19" t="str">
        <x:v>Veetrag Computers Private Ltd. Plot No.7. Parshwanath Nagar, Near Jain Temple, Kupwad MIDC Road,Sangli-416415, Maharashtra, India.CIN-U51909PN20 14PTC152370, GSTIN NO. 27AAECV8865D1ZY</x:v>
      </x:c>
      <x:c r="X6" s="28" t="n">
        <x:v>43887</x:v>
      </x:c>
      <x:c r="Y6" s="19" t="str">
        <x:v>VCPL-2/1920/4326</x:v>
      </x:c>
      <x:c r="Z6" s="19" t="str">
        <x:v>-</x:v>
      </x:c>
      <x:c r="AA6" s="19" t="str">
        <x:v>-</x:v>
      </x:c>
      <x:c r="AB6" s="19" t="str">
        <x:v>ACTIVE/RECORDED</x:v>
      </x:c>
      <x:c r="AC6" s="19" t="str">
        <x:v>Batteries : Quanta make SMF Batteries 12 V, 42 Ah Warranty: 2 Years on site by Renutron ( Including CGST &amp; SGST 28 % ) QUANTA</x:v>
      </x:c>
    </x:row>
    <x:row r="7" ht="34" customHeight="1">
      <x:c r="A7" s="19" t="str">
        <x:v>REC0003</x:v>
      </x:c>
      <x:c r="B7" s="19" t="str">
        <x:v>BAT0003</x:v>
      </x:c>
      <x:c r="C7" s="19" t="str">
        <x:v>Battery.pdf</x:v>
      </x:c>
      <x:c r="D7" s="19" t="n">
        <x:v>3</x:v>
      </x:c>
      <x:c r="E7" s="19" t="str">
        <x:v>LAB009</x:v>
      </x:c>
      <x:c r="F7" s="19" t="str">
        <x:v>D-09</x:v>
      </x:c>
      <x:c r="G7" s="19" t="str">
        <x:v>Apple Education Center Laboratory</x:v>
      </x:c>
      <x:c r="H7" s="19" t="str">
        <x:v>006</x:v>
      </x:c>
      <x:c r="I7" s="19" t="str">
        <x:v>CAT05</x:v>
      </x:c>
      <x:c r="J7" s="19" t="str">
        <x:v>Battery</x:v>
      </x:c>
      <x:c r="K7" s="19" t="str">
        <x:v>Quanta</x:v>
      </x:c>
      <x:c r="L7" s="19" t="str">
        <x:v>12V 42Ah SMF</x:v>
      </x:c>
      <x:c r="M7" s="19" t="str">
        <x:v>MOD003</x:v>
      </x:c>
      <x:c r="N7" s="19" t="str">
        <x:v>-12 (0)</x:v>
      </x:c>
      <x:c r="O7" s="19" t="n">
        <x:v>-12</x:v>
      </x:c>
      <x:c r="P7" s="19" t="n">
        <x:v>0</x:v>
      </x:c>
      <x:c r="Q7" s="19" t="n">
        <x:v>12</x:v>
      </x:c>
      <x:c r="R7" s="19" t="n">
        <x:v>0</x:v>
      </x:c>
      <x:c r="S7" s="26"/>
      <x:c r="T7" s="26"/>
      <x:c r="U7" s="19" t="str">
        <x:v>SUP007</x:v>
      </x:c>
      <x:c r="V7" s="19" t="str">
        <x:v>Veetrag Computers Private Ltd.</x:v>
      </x:c>
      <x:c r="W7" s="19" t="str">
        <x:v>Veetrag Computers Private Ltd. Plot No.7. Parshwanath Nagar, Near Jain Temple, Kupwad MIDC Road,Sangli-416415, Maharashtra, India.CIN-U51909PN20 14PTC152370, GSTIN NO. 27AAECV8865D1ZY</x:v>
      </x:c>
      <x:c r="X7" s="28" t="n">
        <x:v>43887</x:v>
      </x:c>
      <x:c r="Y7" s="19" t="str">
        <x:v>VCPL-2/1920/4322</x:v>
      </x:c>
      <x:c r="Z7" s="19" t="str">
        <x:v>12</x:v>
      </x:c>
      <x:c r="AA7" s="19" t="str">
        <x:v>- Transferred to RIT/CSE/D-10/1/2</x:v>
      </x:c>
      <x:c r="AB7" s="19" t="str">
        <x:v>TRANSFERRED_OUT</x:v>
      </x:c>
      <x:c r="AC7" s="19" t="str">
        <x:v>Battery: Quanta 12 V/42 AH Warranty: 2 Years on site by Renutron ( GST Included 28 %) QUANTA</x:v>
      </x:c>
    </x:row>
    <x:row r="8" ht="34" customHeight="1">
      <x:c r="A8" s="19" t="str">
        <x:v>REC0004</x:v>
      </x:c>
      <x:c r="B8" s="19" t="str">
        <x:v>BAT0004</x:v>
      </x:c>
      <x:c r="C8" s="19" t="str">
        <x:v>Battery.pdf</x:v>
      </x:c>
      <x:c r="D8" s="19" t="n">
        <x:v>4</x:v>
      </x:c>
      <x:c r="E8" s="19" t="str">
        <x:v>LAB010</x:v>
      </x:c>
      <x:c r="F8" s="19" t="str">
        <x:v>D-10</x:v>
      </x:c>
      <x:c r="G8" s="19" t="str">
        <x:v>PG laboratory-1</x:v>
      </x:c>
      <x:c r="H8" s="19" t="str">
        <x:v>002</x:v>
      </x:c>
      <x:c r="I8" s="19" t="str">
        <x:v>CAT05</x:v>
      </x:c>
      <x:c r="J8" s="19" t="str">
        <x:v>Battery</x:v>
      </x:c>
      <x:c r="K8" s="19" t="str">
        <x:v>Quanta</x:v>
      </x:c>
      <x:c r="L8" s="19" t="str">
        <x:v>12V 42Ah SMF</x:v>
      </x:c>
      <x:c r="M8" s="19" t="str">
        <x:v>MOD003</x:v>
      </x:c>
      <x:c r="N8" s="19" t="str">
        <x:v>12 (12)</x:v>
      </x:c>
      <x:c r="O8" s="19" t="n">
        <x:v>12</x:v>
      </x:c>
      <x:c r="P8" s="19" t="n">
        <x:v>12</x:v>
      </x:c>
      <x:c r="Q8" s="19" t="n">
        <x:v>12</x:v>
      </x:c>
      <x:c r="R8" s="19" t="n">
        <x:v>12</x:v>
      </x:c>
      <x:c r="S8" s="26" t="n">
        <x:v>4499</x:v>
      </x:c>
      <x:c r="T8" s="26" t="n">
        <x:v>53988</x:v>
      </x:c>
      <x:c r="U8" s="19" t="str">
        <x:v>SUP007</x:v>
      </x:c>
      <x:c r="V8" s="19" t="str">
        <x:v>Veetrag Computers Private Ltd.</x:v>
      </x:c>
      <x:c r="W8" s="19" t="str">
        <x:v>Veetrag Computers Private Ltd. Plot No.7. Parshwanath Nagar, Near Jain Temple, Kupwad MIDC Road,Sangli-416415, Maharashtra, India.CIN-U51909PN20 14PTC152370, GSTIN NO. 27AAECV8865D1ZY</x:v>
      </x:c>
      <x:c r="X8" s="28" t="n">
        <x:v>43887</x:v>
      </x:c>
      <x:c r="Y8" s="19" t="str">
        <x:v>VCPL-2/1920/4322</x:v>
      </x:c>
      <x:c r="Z8" s="19" t="str">
        <x:v>-</x:v>
      </x:c>
      <x:c r="AA8" s="19" t="str">
        <x:v>- Received From RIT/CSE/D-09/03/6</x:v>
      </x:c>
      <x:c r="AB8" s="19" t="str">
        <x:v>TRANSFERRED_IN</x:v>
      </x:c>
      <x:c r="AC8" s="19" t="str">
        <x:v>Battery: Quanta 12 V/42 AH Warranty: 2 Years on site by Renutron ( GST Included 28 %) Renutron Quanta</x:v>
      </x:c>
    </x:row>
    <x:row r="9" ht="34" customHeight="1">
      <x:c r="A9" s="19" t="str">
        <x:v>REC0005</x:v>
      </x:c>
      <x:c r="B9" s="19" t="str">
        <x:v>BAT0005</x:v>
      </x:c>
      <x:c r="C9" s="19" t="str">
        <x:v>Computers.pdf</x:v>
      </x:c>
      <x:c r="D9" s="19" t="n">
        <x:v>1</x:v>
      </x:c>
      <x:c r="E9" s="19" t="str">
        <x:v>LAB001</x:v>
      </x:c>
      <x:c r="F9" s="19" t="str">
        <x:v>D-01</x:v>
      </x:c>
      <x:c r="G9" s="19" t="str">
        <x:v>Linux Laboratory</x:v>
      </x:c>
      <x:c r="H9" s="19" t="str">
        <x:v>032</x:v>
      </x:c>
      <x:c r="I9" s="19" t="str">
        <x:v>CAT01</x:v>
      </x:c>
      <x:c r="J9" s="19" t="str">
        <x:v>Computers</x:v>
      </x:c>
      <x:c r="K9" s="19" t="str">
        <x:v>Dell</x:v>
      </x:c>
      <x:c r="L9" s="19" t="str">
        <x:v>OptiPlex 3010</x:v>
      </x:c>
      <x:c r="M9" s="19" t="str">
        <x:v>MOD004</x:v>
      </x:c>
      <x:c r="N9" s="19" t="str">
        <x:v>20 (20)</x:v>
      </x:c>
      <x:c r="O9" s="19" t="n">
        <x:v>20</x:v>
      </x:c>
      <x:c r="P9" s="19" t="n">
        <x:v>20</x:v>
      </x:c>
      <x:c r="Q9" s="19" t="n">
        <x:v>20</x:v>
      </x:c>
      <x:c r="R9" s="19" t="n">
        <x:v>20</x:v>
      </x:c>
      <x:c r="S9" s="26" t="n">
        <x:v>33600</x:v>
      </x:c>
      <x:c r="T9" s="26" t="n">
        <x:v>672000</x:v>
      </x:c>
      <x:c r="U9" s="19" t="str">
        <x:v>SUP007</x:v>
      </x:c>
      <x:c r="V9" s="19" t="str">
        <x:v>Veetrag Computers Private Ltd.</x:v>
      </x:c>
      <x:c r="W9" s="19" t="str">
        <x:v>Veetrag Computers, Shree Hanuman Pani Purvatha, Bldg, A/P-Udgaon, Tal-Shirol, Dist-Kolhapur-416134</x:v>
      </x:c>
      <x:c r="X9" s="28" t="n">
        <x:v>41540</x:v>
      </x:c>
      <x:c r="Y9" s="19" t="str">
        <x:v>SUD09/1314/0630</x:v>
      </x:c>
      <x:c r="Z9" s="19" t="str">
        <x:v>-</x:v>
      </x:c>
      <x:c r="AA9" s="19" t="str">
        <x:v>-</x:v>
      </x:c>
      <x:c r="AB9" s="19" t="str">
        <x:v>ACTIVE/RECORDED</x:v>
      </x:c>
      <x:c r="AC9" s="19" t="str">
        <x:v>DELL Optiplex 3010 : Dt- i5 Intel Core i5 3470 Processor 3.20 Ghz, 6 MB, 3rd Generation, 500 GB Sata Harddisk, 4 GB DDR3 RAM, Chipset Motherboard, HD Graphics, LAN Card, USB Keyboard, Mouse, 18.5" widescreen LED Monitor, Windows License Dell</x:v>
      </x:c>
    </x:row>
    <x:row r="10" ht="34" customHeight="1">
      <x:c r="A10" s="19" t="str">
        <x:v>REC0006</x:v>
      </x:c>
      <x:c r="B10" s="19" t="str">
        <x:v>BAT0006</x:v>
      </x:c>
      <x:c r="C10" s="19" t="str">
        <x:v>Computers.pdf</x:v>
      </x:c>
      <x:c r="D10" s="19" t="n">
        <x:v>1</x:v>
      </x:c>
      <x:c r="E10" s="19" t="str">
        <x:v>LAB001</x:v>
      </x:c>
      <x:c r="F10" s="19" t="str">
        <x:v>D-01</x:v>
      </x:c>
      <x:c r="G10" s="19" t="str">
        <x:v>Linux Laboratory</x:v>
      </x:c>
      <x:c r="H10" s="19" t="str">
        <x:v>042</x:v>
      </x:c>
      <x:c r="I10" s="19" t="str">
        <x:v>CAT01</x:v>
      </x:c>
      <x:c r="J10" s="19" t="str">
        <x:v>Computers</x:v>
      </x:c>
      <x:c r="K10" s="19" t="str">
        <x:v>Dell</x:v>
      </x:c>
      <x:c r="L10" s="19" t="str">
        <x:v>OptiPlex 5090 SFF</x:v>
      </x:c>
      <x:c r="M10" s="19" t="str">
        <x:v>MOD005</x:v>
      </x:c>
      <x:c r="N10" s="19" t="str">
        <x:v>2 (2)</x:v>
      </x:c>
      <x:c r="O10" s="19" t="n">
        <x:v>2</x:v>
      </x:c>
      <x:c r="P10" s="19" t="n">
        <x:v>2</x:v>
      </x:c>
      <x:c r="Q10" s="19" t="n">
        <x:v>2</x:v>
      </x:c>
      <x:c r="R10" s="19" t="n">
        <x:v>2</x:v>
      </x:c>
      <x:c r="S10" s="26" t="n">
        <x:v>86933</x:v>
      </x:c>
      <x:c r="T10" s="26" t="n">
        <x:v>173866</x:v>
      </x:c>
      <x:c r="U10" s="19" t="str">
        <x:v>SUP007</x:v>
      </x:c>
      <x:c r="V10" s="19" t="str">
        <x:v>Veetrag Computers Private Ltd.</x:v>
      </x:c>
      <x:c r="W10" s="19" t="str">
        <x:v>Veetrag Computers Private Ltd. Plot No.7. Parshwanath Nagar, Near Jain Temple, Kupwad MIDC Road,Sangli-416415, Maharashtra, India.CIN-U51909PN20 14PTC152370, GSTIN NO. 27AAECV8865D1ZY</x:v>
      </x:c>
      <x:c r="X10" s="28" t="n">
        <x:v>44646</x:v>
      </x:c>
      <x:c r="Y10" s="19" t="str">
        <x:v>VCPL-2/2122/3412</x:v>
      </x:c>
      <x:c r="Z10" s="19" t="str">
        <x:v>-</x:v>
      </x:c>
      <x:c r="AA10" s="19" t="str">
        <x:v>-</x:v>
      </x:c>
      <x:c r="AB10" s="19" t="str">
        <x:v>ACTIVE/RECORDED</x:v>
      </x:c>
      <x:c r="AC10" s="19" t="str">
        <x:v>Computer: 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Warranty: 3 Years Next Business Day Onsite Service by DELL Sr. No. DELL</x:v>
      </x:c>
    </x:row>
    <x:row r="11" ht="34" customHeight="1">
      <x:c r="A11" s="19" t="str">
        <x:v>REC0007</x:v>
      </x:c>
      <x:c r="B11" s="19" t="str">
        <x:v>BAT0007</x:v>
      </x:c>
      <x:c r="C11" s="19" t="str">
        <x:v>Computers.pdf</x:v>
      </x:c>
      <x:c r="D11" s="19" t="n">
        <x:v>2</x:v>
      </x:c>
      <x:c r="E11" s="19" t="str">
        <x:v>LAB002</x:v>
      </x:c>
      <x:c r="F11" s="19" t="str">
        <x:v>D-02</x:v>
      </x:c>
      <x:c r="G11" s="19" t="str">
        <x:v>Database Laboratory</x:v>
      </x:c>
      <x:c r="H11" s="19" t="str">
        <x:v>020</x:v>
      </x:c>
      <x:c r="I11" s="19" t="str">
        <x:v>CAT01</x:v>
      </x:c>
      <x:c r="J11" s="19" t="str">
        <x:v>Computers</x:v>
      </x:c>
      <x:c r="K11" s="19" t="str">
        <x:v>Dell</x:v>
      </x:c>
      <x:c r="L11" s="19" t="str">
        <x:v>OptiPlex 360</x:v>
      </x:c>
      <x:c r="M11" s="19" t="str">
        <x:v>MOD006</x:v>
      </x:c>
      <x:c r="N11" s="19" t="str">
        <x:v>20 (20)</x:v>
      </x:c>
      <x:c r="O11" s="19" t="n">
        <x:v>20</x:v>
      </x:c>
      <x:c r="P11" s="19" t="n">
        <x:v>20</x:v>
      </x:c>
      <x:c r="Q11" s="19" t="n">
        <x:v>20</x:v>
      </x:c>
      <x:c r="R11" s="19" t="n">
        <x:v>20</x:v>
      </x:c>
      <x:c r="S11" s="26" t="n">
        <x:v>28975</x:v>
      </x:c>
      <x:c r="T11" s="26" t="n">
        <x:v>579500</x:v>
      </x:c>
      <x:c r="U11" s="19" t="str">
        <x:v>SUP007</x:v>
      </x:c>
      <x:c r="V11" s="19" t="str">
        <x:v>Veetrag Computers Private Ltd.</x:v>
      </x:c>
      <x:c r="W11" s="19" t="str">
        <x:v>Veetrag Computers, Shree Hanuman Pani Purvatha Building, A/P- Vdhagaon, Tal- Shirol, Dist- Kolhapur Pin- 416136</x:v>
      </x:c>
      <x:c r="X11" s="28" t="n">
        <x:v>40071</x:v>
      </x:c>
      <x:c r="Y11" s="19" t="str">
        <x:v>SUD09/0910/0237</x:v>
      </x:c>
      <x:c r="Z11" s="19" t="str">
        <x:v>-</x:v>
      </x:c>
      <x:c r="AA11" s="19" t="str">
        <x:v>-</x:v>
      </x:c>
      <x:c r="AB11" s="19" t="str">
        <x:v>ACTIVE/RECORDED</x:v>
      </x:c>
      <x:c r="AC11" s="19" t="str">
        <x:v>Dell Optiplex 360 (C2D 2.9/ 2GB/ 250 GB HDD/ DVDRW/ 3 Year Warranty) Intel Core 2 Deo E7500 (2.93 Ghz, 3 MB L2 Cache, 1066 Mz FSB) 2 GB DDR2 @ 800 Mhz SD RAM Memory, 250 GB SATA HDD @ 7200 RPM, 16 X Max DVD +/-RW with Dual Layer write Capabilities, Intel G31/Q33 Express Chipset Motherboard Intel Graphics Media X3100, Integrated Gigabyte LAN, Keyboard, Optical USB Mouse + MAT, Internal Speaker, 8 USB 8.0, 1 Ethernet (RJ-45), 1 Serial, 1 Parallel, 1 VGA out, 1 Sterio Line in, 1 Microphone In, 1 Speaker Iine out, 1 headphone, Monitor/BTD Cabinet ( 3 Years Onsite Warranty) Dell</x:v>
      </x:c>
    </x:row>
    <x:row r="12" ht="34" customHeight="1">
      <x:c r="A12" s="19" t="str">
        <x:v>REC0008</x:v>
      </x:c>
      <x:c r="B12" s="19" t="str">
        <x:v>BAT0008</x:v>
      </x:c>
      <x:c r="C12" s="19" t="str">
        <x:v>Computers.pdf</x:v>
      </x:c>
      <x:c r="D12" s="19" t="n">
        <x:v>2</x:v>
      </x:c>
      <x:c r="E12" s="19" t="str">
        <x:v>LAB002</x:v>
      </x:c>
      <x:c r="F12" s="19" t="str">
        <x:v>D-02</x:v>
      </x:c>
      <x:c r="G12" s="19" t="str">
        <x:v>Database Laboratory</x:v>
      </x:c>
      <x:c r="H12" s="19" t="str">
        <x:v>031</x:v>
      </x:c>
      <x:c r="I12" s="19" t="str">
        <x:v>CAT01</x:v>
      </x:c>
      <x:c r="J12" s="19" t="str">
        <x:v>Computers</x:v>
      </x:c>
      <x:c r="K12" s="19" t="str">
        <x:v>Dell</x:v>
      </x:c>
      <x:c r="L12" s="19" t="str">
        <x:v>OptiPlex 3040</x:v>
      </x:c>
      <x:c r="M12" s="19" t="str">
        <x:v>MOD007</x:v>
      </x:c>
      <x:c r="N12" s="19" t="str">
        <x:v>10 (10)</x:v>
      </x:c>
      <x:c r="O12" s="19" t="n">
        <x:v>10</x:v>
      </x:c>
      <x:c r="P12" s="19" t="n">
        <x:v>10</x:v>
      </x:c>
      <x:c r="Q12" s="19" t="n">
        <x:v>10</x:v>
      </x:c>
      <x:c r="R12" s="19" t="n">
        <x:v>10</x:v>
      </x:c>
      <x:c r="S12" s="26" t="n">
        <x:v>42500</x:v>
      </x:c>
      <x:c r="T12" s="26" t="n">
        <x:v>425000</x:v>
      </x:c>
      <x:c r="U12" s="19" t="str">
        <x:v>SUP007</x:v>
      </x:c>
      <x:c r="V12" s="19" t="str">
        <x:v>Veetrag Computers Private Ltd.</x:v>
      </x:c>
      <x:c r="W12" s="19" t="str">
        <x:v>Veerag Computer Sanglie</x:v>
      </x:c>
      <x:c r="X12" s="28" t="n">
        <x:v>42620</x:v>
      </x:c>
      <x:c r="Y12" s="19" t="str">
        <x:v>sud09/1617/0567</x:v>
      </x:c>
      <x:c r="Z12" s="19" t="str">
        <x:v>-</x:v>
      </x:c>
      <x:c r="AA12" s="19" t="str">
        <x:v>-</x:v>
      </x:c>
      <x:c r="AB12" s="19" t="str">
        <x:v>ACTIVE/RECORDED</x:v>
      </x:c>
      <x:c r="AC12" s="19" t="str">
        <x:v>Dell Optiplex 3040 Dell</x:v>
      </x:c>
    </x:row>
    <x:row r="13" ht="34" customHeight="1">
      <x:c r="A13" s="19" t="str">
        <x:v>REC0009</x:v>
      </x:c>
      <x:c r="B13" s="19" t="str">
        <x:v>BAT0009</x:v>
      </x:c>
      <x:c r="C13" s="19" t="str">
        <x:v>Computers.pdf</x:v>
      </x:c>
      <x:c r="D13" s="19" t="n">
        <x:v>3</x:v>
      </x:c>
      <x:c r="E13" s="19" t="str">
        <x:v>LAB002</x:v>
      </x:c>
      <x:c r="F13" s="19" t="str">
        <x:v>D-02</x:v>
      </x:c>
      <x:c r="G13" s="19" t="str">
        <x:v>Database Laboratory</x:v>
      </x:c>
      <x:c r="H13" s="19" t="str">
        <x:v>037</x:v>
      </x:c>
      <x:c r="I13" s="19" t="str">
        <x:v>CAT01</x:v>
      </x:c>
      <x:c r="J13" s="19" t="str">
        <x:v>Computers</x:v>
      </x:c>
      <x:c r="K13" s="19" t="str">
        <x:v>Dell</x:v>
      </x:c>
      <x:c r="L13" s="19" t="str">
        <x:v>OptiPlex 5090 SFF</x:v>
      </x:c>
      <x:c r="M13" s="19" t="str">
        <x:v>MOD005</x:v>
      </x:c>
      <x:c r="N13" s="19" t="str">
        <x:v>10 (10)</x:v>
      </x:c>
      <x:c r="O13" s="19" t="n">
        <x:v>10</x:v>
      </x:c>
      <x:c r="P13" s="19" t="n">
        <x:v>10</x:v>
      </x:c>
      <x:c r="Q13" s="19" t="n">
        <x:v>10</x:v>
      </x:c>
      <x:c r="R13" s="19" t="n">
        <x:v>10</x:v>
      </x:c>
      <x:c r="S13" s="26" t="n">
        <x:v>86933</x:v>
      </x:c>
      <x:c r="T13" s="26" t="n">
        <x:v>869330</x:v>
      </x:c>
      <x:c r="U13" s="19" t="str">
        <x:v>SUP007</x:v>
      </x:c>
      <x:c r="V13" s="19" t="str">
        <x:v>Veetrag Computers Private Ltd.</x:v>
      </x:c>
      <x:c r="W13" s="19" t="str">
        <x:v>Veetrag Computers Private Ltd. Plot No.7. Parshwanath Nagar, Near Jain Temple, Kupwad MIDC Road,Sangli-416415, Maharashtra, India.CIN-U51909PN20 14PTC152370, GSTIN NO. 27AAECV8865D1ZY</x:v>
      </x:c>
      <x:c r="X13" s="28" t="n">
        <x:v>44646</x:v>
      </x:c>
      <x:c r="Y13" s="19" t="str">
        <x:v>VCPL-2/2122/3412</x:v>
      </x:c>
      <x:c r="Z13" s="19" t="str">
        <x:v>-</x:v>
      </x:c>
      <x:c r="AA13" s="19" t="str">
        <x:v>-</x:v>
      </x:c>
      <x:c r="AB13" s="19" t="str">
        <x:v>ACTIVE/RECORDED</x:v>
      </x:c>
      <x:c r="AC13" s="19" t="str">
        <x:v>Computer: 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DELL</x:v>
      </x:c>
    </x:row>
    <x:row r="14" ht="34" customHeight="1">
      <x:c r="A14" s="19" t="str">
        <x:v>REC0010</x:v>
      </x:c>
      <x:c r="B14" s="19" t="str">
        <x:v>BAT0010</x:v>
      </x:c>
      <x:c r="C14" s="19" t="str">
        <x:v>Computers.pdf</x:v>
      </x:c>
      <x:c r="D14" s="19" t="n">
        <x:v>4</x:v>
      </x:c>
      <x:c r="E14" s="19" t="str">
        <x:v>LAB003</x:v>
      </x:c>
      <x:c r="F14" s="19" t="str">
        <x:v>D-03</x:v>
      </x:c>
      <x:c r="G14" s="19" t="str">
        <x:v>Project Laboratory</x:v>
      </x:c>
      <x:c r="H14" s="19" t="str">
        <x:v>029</x:v>
      </x:c>
      <x:c r="I14" s="19" t="str">
        <x:v>CAT01</x:v>
      </x:c>
      <x:c r="J14" s="19" t="str">
        <x:v>Computers</x:v>
      </x:c>
      <x:c r="K14" s="19" t="str">
        <x:v>Dell</x:v>
      </x:c>
      <x:c r="L14" s="19" t="str">
        <x:v>OptiPlex 360</x:v>
      </x:c>
      <x:c r="M14" s="19" t="str">
        <x:v>MOD008</x:v>
      </x:c>
      <x:c r="N14" s="19" t="str">
        <x:v>17 (17)</x:v>
      </x:c>
      <x:c r="O14" s="19" t="n">
        <x:v>17</x:v>
      </x:c>
      <x:c r="P14" s="19" t="n">
        <x:v>17</x:v>
      </x:c>
      <x:c r="Q14" s="19" t="n">
        <x:v>17</x:v>
      </x:c>
      <x:c r="R14" s="19" t="n">
        <x:v>17</x:v>
      </x:c>
      <x:c r="S14" s="26" t="n">
        <x:v>28975</x:v>
      </x:c>
      <x:c r="T14" s="26" t="n">
        <x:v>492575</x:v>
      </x:c>
      <x:c r="U14" s="19" t="str">
        <x:v>SUP007</x:v>
      </x:c>
      <x:c r="V14" s="19" t="str">
        <x:v>Veetrag Computers Private Ltd.</x:v>
      </x:c>
      <x:c r="W14" s="19" t="str">
        <x:v>Veetrag Computers, Shree Hanuman Pani Purvatha Building, A/P- Vdhagaon, Tal- Shirol, Dist- Kolhapur Pin- 416136</x:v>
      </x:c>
      <x:c r="X14" s="28" t="n">
        <x:v>40071</x:v>
      </x:c>
      <x:c r="Y14" s="19" t="str">
        <x:v>SUD09/0910/0237</x:v>
      </x:c>
      <x:c r="Z14" s="19" t="str">
        <x:v>-</x:v>
      </x:c>
      <x:c r="AA14" s="19" t="str">
        <x:v>-</x:v>
      </x:c>
      <x:c r="AB14" s="19" t="str">
        <x:v>ACTIVE/RECORDED</x:v>
      </x:c>
      <x:c r="AC14" s="19" t="str">
        <x:v>Dell OptiPlex 360 (C2D 2.9/ 2GB/ 250 GB HDD/ DVDRW/ 3 Year Warranty) Intel Core 2 Deo, E7500, (2.93 GHz, 3 MB L2 Catch, 2 GB DDR 2 SD RAM, HDD 250 GB, Monitor TFT, Key Board, mouse DELL</x:v>
      </x:c>
    </x:row>
    <x:row r="15" ht="34" customHeight="1">
      <x:c r="A15" s="19" t="str">
        <x:v>REC0011</x:v>
      </x:c>
      <x:c r="B15" s="19" t="str">
        <x:v>BAT0011</x:v>
      </x:c>
      <x:c r="C15" s="19" t="str">
        <x:v>Computers.pdf</x:v>
      </x:c>
      <x:c r="D15" s="19" t="n">
        <x:v>4</x:v>
      </x:c>
      <x:c r="E15" s="19" t="str">
        <x:v>LAB003</x:v>
      </x:c>
      <x:c r="F15" s="19" t="str">
        <x:v>D-03</x:v>
      </x:c>
      <x:c r="G15" s="19" t="str">
        <x:v>Project Laboratory</x:v>
      </x:c>
      <x:c r="H15" s="19" t="str">
        <x:v>041</x:v>
      </x:c>
      <x:c r="I15" s="19" t="str">
        <x:v>CAT01</x:v>
      </x:c>
      <x:c r="J15" s="19" t="str">
        <x:v>Computers</x:v>
      </x:c>
      <x:c r="K15" s="19" t="str">
        <x:v>Dell</x:v>
      </x:c>
      <x:c r="L15" s="19" t="str">
        <x:v>OptiPlex 3020 MT</x:v>
      </x:c>
      <x:c r="M15" s="19" t="str">
        <x:v>MOD009</x:v>
      </x:c>
      <x:c r="N15" s="19" t="str">
        <x:v>10 (10)</x:v>
      </x:c>
      <x:c r="O15" s="19" t="n">
        <x:v>10</x:v>
      </x:c>
      <x:c r="P15" s="19" t="n">
        <x:v>10</x:v>
      </x:c>
      <x:c r="Q15" s="19" t="n">
        <x:v>10</x:v>
      </x:c>
      <x:c r="R15" s="19" t="n">
        <x:v>10</x:v>
      </x:c>
      <x:c r="S15" s="26" t="n">
        <x:v>39500</x:v>
      </x:c>
      <x:c r="T15" s="26" t="n">
        <x:v>395000</x:v>
      </x:c>
      <x:c r="U15" s="19" t="str">
        <x:v>SUP007</x:v>
      </x:c>
      <x:c r="V15" s="19" t="str">
        <x:v>Veetrag Computers Private Ltd.</x:v>
      </x:c>
      <x:c r="W15" s="19" t="str">
        <x:v>Veetrag Computers, Shree Hanuman Pani Purvatha, Bldg, A/P-Udgaon, Tal-Shirol, Dist-Kolhapur-416134</x:v>
      </x:c>
      <x:c r="X15" s="28" t="n">
        <x:v>42043</x:v>
      </x:c>
      <x:c r="Y15" s="19" t="str">
        <x:v>SUD02/1415/1426</x:v>
      </x:c>
      <x:c r="Z15" s="19" t="str">
        <x:v>-</x:v>
      </x:c>
      <x:c r="AA15" s="19" t="str">
        <x:v>-</x:v>
      </x:c>
      <x:c r="AB15" s="19" t="str">
        <x:v>ACTIVE/RECORDED</x:v>
      </x:c>
      <x:c r="AC15" s="19" t="str">
        <x:v>Dell Computers: Dell Optiplex 3020 MT, Intel Core I 5-4570 Processor Quad Core with Mini tower, HD Graphics, 4 GB 1 DiMM Non EDD, 500 GB HDD, Monitor 19", Dell Optical Mouse &amp; USB KeyBoard DELL</x:v>
      </x:c>
    </x:row>
    <x:row r="16" ht="34" customHeight="1">
      <x:c r="A16" s="19" t="str">
        <x:v>REC0012</x:v>
      </x:c>
      <x:c r="B16" s="19" t="str">
        <x:v>BAT0012</x:v>
      </x:c>
      <x:c r="C16" s="19" t="str">
        <x:v>Computers.pdf</x:v>
      </x:c>
      <x:c r="D16" s="19" t="n">
        <x:v>4</x:v>
      </x:c>
      <x:c r="E16" s="19" t="str">
        <x:v>LAB003</x:v>
      </x:c>
      <x:c r="F16" s="19" t="str">
        <x:v>D-03</x:v>
      </x:c>
      <x:c r="G16" s="19" t="str">
        <x:v>Project Laboratory</x:v>
      </x:c>
      <x:c r="H16" s="19" t="str">
        <x:v>048</x:v>
      </x:c>
      <x:c r="I16" s="19" t="str">
        <x:v>CAT01</x:v>
      </x:c>
      <x:c r="J16" s="19" t="str">
        <x:v>Computers</x:v>
      </x:c>
      <x:c r="K16" s="19" t="str">
        <x:v>Dell</x:v>
      </x:c>
      <x:c r="L16" s="19" t="str">
        <x:v>OptiPlex 3060 MT</x:v>
      </x:c>
      <x:c r="M16" s="19" t="str">
        <x:v>MOD010</x:v>
      </x:c>
      <x:c r="N16" s="19" t="str">
        <x:v>16 (16)</x:v>
      </x:c>
      <x:c r="O16" s="19" t="n">
        <x:v>16</x:v>
      </x:c>
      <x:c r="P16" s="19" t="n">
        <x:v>16</x:v>
      </x:c>
      <x:c r="Q16" s="19" t="n">
        <x:v>16</x:v>
      </x:c>
      <x:c r="R16" s="19" t="n">
        <x:v>16</x:v>
      </x:c>
      <x:c r="S16" s="26" t="n">
        <x:v>47500</x:v>
      </x:c>
      <x:c r="T16" s="26" t="n">
        <x:v>760000</x:v>
      </x:c>
      <x:c r="U16" s="19" t="str">
        <x:v>SUP007</x:v>
      </x:c>
      <x:c r="V16" s="19" t="str">
        <x:v>Veetrag Computers Private Ltd.</x:v>
      </x:c>
      <x:c r="W16" s="19" t="str">
        <x:v>Veetrag Computers Private Ltd. Plot No.7. Parshwanath Nagar, Near Jain Temple, Kupwad MIDC Road,Sangli-416415, Maharashtra, India.CIN-U51909PN20 14PTC152370, GSTIN NO. 27AAECV8865D1ZY</x:v>
      </x:c>
      <x:c r="X16" s="28" t="n">
        <x:v>43337</x:v>
      </x:c>
      <x:c r="Y16" s="19" t="str">
        <x:v>VCPL-2/1819/1598</x:v>
      </x:c>
      <x:c r="Z16" s="19" t="str">
        <x:v>-</x:v>
      </x:c>
      <x:c r="AA16" s="19" t="str">
        <x:v>-</x:v>
      </x:c>
      <x:c r="AB16" s="19" t="str">
        <x:v>ACTIVE/RECORDED</x:v>
      </x:c>
      <x:c r="AC16" s="19" t="str">
        <x:v>Dell Computers: Dell Optiflex 3060 MT (Ci7/4/6/4 GB/1 TB/18.5"/3 Year Intel Core i7 Processor-8700 (6 Core/12MB/12T/up to 4.6 GHz, 65W); Support Windows 10 / Linux 4 GB(1X4GB)2600Mhz DDR4 UDIMM nOn -ECC 3.5 inch 1 TB 7200 RPM SATA Hard Disk Drive Intel Integrated Graphics,Dell Optical Mouse MS116 Black, Dell Multimedia Keyboard KB216 Black Keyboard US International-(QWERTY),Tower with 260W up to, 19" Dell 1916 HE Monitor,Ubuntu Linux 16.04, Warranty: 3 Year Next Business Day Onsite Service By Dell Dell</x:v>
      </x:c>
    </x:row>
    <x:row r="17" ht="34" customHeight="1">
      <x:c r="A17" s="19" t="str">
        <x:v>REC0013</x:v>
      </x:c>
      <x:c r="B17" s="19" t="str">
        <x:v>BAT0013</x:v>
      </x:c>
      <x:c r="C17" s="19" t="str">
        <x:v>Computers.pdf</x:v>
      </x:c>
      <x:c r="D17" s="19" t="n">
        <x:v>6</x:v>
      </x:c>
      <x:c r="E17" s="19" t="str">
        <x:v>LAB004</x:v>
      </x:c>
      <x:c r="F17" s="19" t="str">
        <x:v>D-04</x:v>
      </x:c>
      <x:c r="G17" s="19" t="str">
        <x:v>Application Development Tool Laboratory</x:v>
      </x:c>
      <x:c r="H17" s="19" t="str">
        <x:v>026</x:v>
      </x:c>
      <x:c r="I17" s="19" t="str">
        <x:v>CAT01</x:v>
      </x:c>
      <x:c r="J17" s="19" t="str">
        <x:v>Computers</x:v>
      </x:c>
      <x:c r="K17" s="19" t="str">
        <x:v>Dell</x:v>
      </x:c>
      <x:c r="L17" s="19" t="str">
        <x:v>OptiPlex 3020 MT</x:v>
      </x:c>
      <x:c r="M17" s="19" t="str">
        <x:v>MOD011</x:v>
      </x:c>
      <x:c r="N17" s="19" t="str">
        <x:v>10 (10)</x:v>
      </x:c>
      <x:c r="O17" s="19" t="n">
        <x:v>10</x:v>
      </x:c>
      <x:c r="P17" s="19" t="n">
        <x:v>10</x:v>
      </x:c>
      <x:c r="Q17" s="19" t="n">
        <x:v>10</x:v>
      </x:c>
      <x:c r="R17" s="19" t="n">
        <x:v>10</x:v>
      </x:c>
      <x:c r="S17" s="26" t="n">
        <x:v>39500</x:v>
      </x:c>
      <x:c r="T17" s="26" t="n">
        <x:v>395000</x:v>
      </x:c>
      <x:c r="U17" s="19" t="str">
        <x:v>SUP007</x:v>
      </x:c>
      <x:c r="V17" s="19" t="str">
        <x:v>Veetrag Computers Private Ltd.</x:v>
      </x:c>
      <x:c r="W17" s="19" t="str">
        <x:v>Veetrag Computers, Shree Hanuman Pani Purvatha, Bldg, A/P-Udgaon, Tal-Shirol, Dist-Kolhapur-416134</x:v>
      </x:c>
      <x:c r="X17" s="28" t="n">
        <x:v>42042</x:v>
      </x:c>
      <x:c r="Y17" s="19" t="str">
        <x:v>SUD02/1415/1426</x:v>
      </x:c>
      <x:c r="Z17" s="19" t="str">
        <x:v>-</x:v>
      </x:c>
      <x:c r="AA17" s="19" t="str">
        <x:v>-</x:v>
      </x:c>
      <x:c r="AB17" s="19" t="str">
        <x:v>ACTIVE/RECORDED</x:v>
      </x:c>
      <x:c r="AC17" s="19" t="str">
        <x:v>Dell Computers: Dell Optiplex 3020 MT, Intel Core I 5-4570 Processor Quad Core with Mini tower, HD Graphics, 4 GB 1 DiMM Non EDD, 500 GB HDD, DELL wide LED Monitor 18.5", Dell Optical Mouse &amp; USB KeyBoard Ubuntu Linux 12.04 3 Year Onsite Service (VAT @ 5 %) DELL Optiplex3020</x:v>
      </x:c>
    </x:row>
    <x:row r="18" ht="34" customHeight="1">
      <x:c r="A18" s="19" t="str">
        <x:v>REC0014</x:v>
      </x:c>
      <x:c r="B18" s="19" t="str">
        <x:v>BAT0014</x:v>
      </x:c>
      <x:c r="C18" s="19" t="str">
        <x:v>Computers.pdf</x:v>
      </x:c>
      <x:c r="D18" s="19" t="n">
        <x:v>7</x:v>
      </x:c>
      <x:c r="E18" s="19" t="str">
        <x:v>LAB005</x:v>
      </x:c>
      <x:c r="F18" s="19" t="str">
        <x:v>D-05</x:v>
      </x:c>
      <x:c r="G18" s="19" t="str">
        <x:v>Operating System Laboratory</x:v>
      </x:c>
      <x:c r="H18" s="19" t="str">
        <x:v>026</x:v>
      </x:c>
      <x:c r="I18" s="19" t="str">
        <x:v>CAT01</x:v>
      </x:c>
      <x:c r="J18" s="19" t="str">
        <x:v>Computers</x:v>
      </x:c>
      <x:c r="K18" s="19" t="str">
        <x:v>Dell</x:v>
      </x:c>
      <x:c r="L18" s="19" t="str">
        <x:v>OptiPlex 3020 MT</x:v>
      </x:c>
      <x:c r="M18" s="19" t="str">
        <x:v>MOD009</x:v>
      </x:c>
      <x:c r="N18" s="19" t="str">
        <x:v>10 (10)</x:v>
      </x:c>
      <x:c r="O18" s="19" t="n">
        <x:v>10</x:v>
      </x:c>
      <x:c r="P18" s="19" t="n">
        <x:v>10</x:v>
      </x:c>
      <x:c r="Q18" s="19" t="n">
        <x:v>10</x:v>
      </x:c>
      <x:c r="R18" s="19" t="n">
        <x:v>10</x:v>
      </x:c>
      <x:c r="S18" s="26" t="n">
        <x:v>39500</x:v>
      </x:c>
      <x:c r="T18" s="26" t="n">
        <x:v>395000</x:v>
      </x:c>
      <x:c r="U18" s="19" t="str">
        <x:v>SUP007</x:v>
      </x:c>
      <x:c r="V18" s="19" t="str">
        <x:v>Veetrag Computers Private Ltd.</x:v>
      </x:c>
      <x:c r="W18" s="19" t="str">
        <x:v>Veetrag Computers, Shree Hanuman Pani Purvatha, Bldg, A/P-Udgaon, Tal-Shirol, Dist-Kolhapur-416134</x:v>
      </x:c>
      <x:c r="X18" s="28" t="n">
        <x:v>42042</x:v>
      </x:c>
      <x:c r="Y18" s="19" t="str">
        <x:v>SUD02/1415/1426</x:v>
      </x:c>
      <x:c r="Z18" s="19" t="str">
        <x:v>-</x:v>
      </x:c>
      <x:c r="AA18" s="19" t="str">
        <x:v>-</x:v>
      </x:c>
      <x:c r="AB18" s="19" t="str">
        <x:v>ACTIVE/RECORDED</x:v>
      </x:c>
      <x:c r="AC18" s="19" t="str">
        <x:v>Dell Optiplex 3020 MT, Intel Core I 5-4570 Processor Quad Core with Mini tower, HD Graphics, 4 GB 1 DiMM Non EDD, 500 GB HDD, Monitor 19", Dell Optical Mouse &amp; USB KeyBoard Dell</x:v>
      </x:c>
    </x:row>
    <x:row r="19" ht="34" customHeight="1">
      <x:c r="A19" s="19" t="str">
        <x:v>REC0015</x:v>
      </x:c>
      <x:c r="B19" s="19" t="str">
        <x:v>BAT0015</x:v>
      </x:c>
      <x:c r="C19" s="19" t="str">
        <x:v>Computers.pdf</x:v>
      </x:c>
      <x:c r="D19" s="19" t="n">
        <x:v>7</x:v>
      </x:c>
      <x:c r="E19" s="19" t="str">
        <x:v>LAB005</x:v>
      </x:c>
      <x:c r="F19" s="19" t="str">
        <x:v>D-05</x:v>
      </x:c>
      <x:c r="G19" s="19" t="str">
        <x:v>Operating System Laboratory</x:v>
      </x:c>
      <x:c r="H19" s="19" t="str">
        <x:v>032</x:v>
      </x:c>
      <x:c r="I19" s="19" t="str">
        <x:v>CAT01</x:v>
      </x:c>
      <x:c r="J19" s="19" t="str">
        <x:v>Computers</x:v>
      </x:c>
      <x:c r="K19" s="19" t="str">
        <x:v>Dell</x:v>
      </x:c>
      <x:c r="L19" s="19" t="str">
        <x:v>OptiPlex 3050 MT</x:v>
      </x:c>
      <x:c r="M19" s="19" t="str">
        <x:v>MOD012</x:v>
      </x:c>
      <x:c r="N19" s="19" t="str">
        <x:v>13 (13)</x:v>
      </x:c>
      <x:c r="O19" s="19" t="n">
        <x:v>13</x:v>
      </x:c>
      <x:c r="P19" s="19" t="n">
        <x:v>13</x:v>
      </x:c>
      <x:c r="Q19" s="19" t="n">
        <x:v>13</x:v>
      </x:c>
      <x:c r="R19" s="19" t="n">
        <x:v>13</x:v>
      </x:c>
      <x:c r="S19" s="26" t="n">
        <x:v>44510</x:v>
      </x:c>
      <x:c r="T19" s="26" t="n">
        <x:v>578630</x:v>
      </x:c>
      <x:c r="U19" s="19" t="str">
        <x:v>SUP007</x:v>
      </x:c>
      <x:c r="V19" s="19" t="str">
        <x:v>Veetrag Computers Private Ltd.</x:v>
      </x:c>
      <x:c r="W19" s="19" t="str">
        <x:v>Veetrag Computers Private Ltd. Plot No.7. Parshwanath Nagar, Near Jain Temple, Kupwad MIDC Road,Sangli-416415, Maharashtra, India.CIN-U51909PN20 14PTC152370, GSTIN NO. 27AAECV8865D1ZY</x:v>
      </x:c>
      <x:c r="X19" s="28" t="n">
        <x:v>43008</x:v>
      </x:c>
      <x:c r="Y19" s="19" t="str">
        <x:v>VCPL-2/1718/1319</x:v>
      </x:c>
      <x:c r="Z19" s="19" t="str">
        <x:v>-</x:v>
      </x:c>
      <x:c r="AA19" s="19" t="str">
        <x:v>-</x:v>
      </x:c>
      <x:c r="AB19" s="19" t="str">
        <x:v>ACTIVE/RECORDED</x:v>
      </x:c>
      <x:c r="AC19" s="19" t="str">
        <x:v>Dell Optiplex3050MT, Intel Core i7 Processor-770 (Quad Core, 8MB,8T 3.6 GHz, 65W); Spports Windows 10 / Linux 4 GB(1X4GB)2400Mhz DDR4 Memory, 1 TB 7.2K RPM SATA 6gbps Entry 3.5 inch SATAcabled Hard Drive, Integrated Intel HD Graphics, Dell OptiPlex VGA Video Port, Mini Tower, No PCI Add-in Card,No Wireless Card, Dell Optical Mouse MS116 Black, Dell Multimedia Keyboard KB216 Black Keyboard US International- (QWERTY) " Windows 10 Home(64bit) Single language English, Mini Tower Chasis +Standard 240 W SMPS,18.5" Dell 1916 HV Monitor. Warranty: 3 Year Next Bussiness Day Onsite Service By Dell Dell</x:v>
      </x:c>
    </x:row>
    <x:row r="20" ht="34" customHeight="1">
      <x:c r="A20" s="19" t="str">
        <x:v>REC0016</x:v>
      </x:c>
      <x:c r="B20" s="19" t="str">
        <x:v>BAT0016</x:v>
      </x:c>
      <x:c r="C20" s="19" t="str">
        <x:v>Computers.pdf</x:v>
      </x:c>
      <x:c r="D20" s="19" t="n">
        <x:v>8</x:v>
      </x:c>
      <x:c r="E20" s="19" t="str">
        <x:v>LAB005</x:v>
      </x:c>
      <x:c r="F20" s="19" t="str">
        <x:v>D-05</x:v>
      </x:c>
      <x:c r="G20" s="19" t="str">
        <x:v>Operating System Laboratory</x:v>
      </x:c>
      <x:c r="H20" s="19" t="str">
        <x:v>034</x:v>
      </x:c>
      <x:c r="I20" s="19" t="str">
        <x:v>CAT01</x:v>
      </x:c>
      <x:c r="J20" s="19" t="str">
        <x:v>Computers</x:v>
      </x:c>
      <x:c r="K20" s="19" t="str">
        <x:v>Dell</x:v>
      </x:c>
      <x:c r="L20" s="19" t="str">
        <x:v>OptiPlex 3000 MT</x:v>
      </x:c>
      <x:c r="M20" s="19" t="str">
        <x:v>MOD013</x:v>
      </x:c>
      <x:c r="N20" s="19" t="str">
        <x:v>10 (10)</x:v>
      </x:c>
      <x:c r="O20" s="19" t="n">
        <x:v>10</x:v>
      </x:c>
      <x:c r="P20" s="19" t="n">
        <x:v>10</x:v>
      </x:c>
      <x:c r="Q20" s="19" t="n">
        <x:v>10</x:v>
      </x:c>
      <x:c r="R20" s="19" t="n">
        <x:v>10</x:v>
      </x:c>
      <x:c r="S20" s="26" t="n">
        <x:v>72260</x:v>
      </x:c>
      <x:c r="T20" s="26" t="n">
        <x:v>722600</x:v>
      </x:c>
      <x:c r="U20" s="19" t="str">
        <x:v>SUP007</x:v>
      </x:c>
      <x:c r="V20" s="19" t="str">
        <x:v>Veetrag Computers Private Ltd.</x:v>
      </x:c>
      <x:c r="W20" s="19" t="str">
        <x:v>Veetrag Computers Private Ltd. Plot No.7. Parshwanath Nagar, Near Jain Temple, Kupwad MIDC Road,Sangli-416415, Maharashtra, India.CIN-U51909PN20 14PTC152370, GSTIN NO. 27AAECV8865D1ZY</x:v>
      </x:c>
      <x:c r="X20" s="28" t="n">
        <x:v>44893</x:v>
      </x:c>
      <x:c r="Y20" s="19" t="str">
        <x:v>VCPL-2/2223/2339</x:v>
      </x:c>
      <x:c r="Z20" s="19" t="str">
        <x:v>-</x:v>
      </x:c>
      <x:c r="AA20" s="19" t="str">
        <x:v>-</x:v>
      </x:c>
      <x:c r="AB20" s="19" t="str">
        <x:v>ACTIVE/RECORDED</x:v>
      </x:c>
      <x:c r="AC20" s="19" t="str">
        <x:v>DELL Optiplex 3000 MT (Ci5/3/0/8GB/512GB SSD/WIN11 Prof/19.5" 3Yrs) OptiPlex 3000 Tower Intel Ci5-12500 (6 Cores /18MB/12T/3.0Ghz to 4.6 Ghz/65W), Supports Win11DG/Linux) 8GB(1X8GB)DDR4 Non-ECC Memory, M.2 2230 512GB PCIe NVMe Class 35 Solid State Drive (EM) Intel Integrated Graphics, Thermal Pad for Tower SystemPower Cord India 6A, Internal Speaker, No Additional Add in Cards, No PCIe add- in card, No wireless LAN card, Dell USB Optical Mouse-MS116(EPEAT)-Black, Dell wired Keyboard KB216 Black, Windows 10 Pro(Includes Windows 11 Pro License)English, OS-Windows Media Not Included, Microsoft Office Trial 30 Days SW Drivers, Intel Rapid Storage technology, OptiPlex 3000 Dell(TM) Digital Delivery Cirrus Clint, Dell 20 Monitor-E2020H OptiPlex 3000 Tower with 180W Bronze Power Supply Warranty: 3 Years Next Business Day Onsite Service by DELL Sr.No.FPC6JT3,6PC6JT3,BPC6JT3,HPC6J T3,8PC6JT3.CPC6JT3, DPC6JT3,GPC6JT3,7PC6JT3,9PC6JT3,9P C6JT3 ( GST 18% Included) DELL</x:v>
      </x:c>
    </x:row>
    <x:row r="21" ht="34" customHeight="1">
      <x:c r="A21" s="19" t="str">
        <x:v>REC0017</x:v>
      </x:c>
      <x:c r="B21" s="19" t="str">
        <x:v>BAT0017</x:v>
      </x:c>
      <x:c r="C21" s="19" t="str">
        <x:v>Computers.pdf</x:v>
      </x:c>
      <x:c r="D21" s="19" t="n">
        <x:v>9</x:v>
      </x:c>
      <x:c r="E21" s="19" t="str">
        <x:v>LAB006</x:v>
      </x:c>
      <x:c r="F21" s="19" t="str">
        <x:v>D-06</x:v>
      </x:c>
      <x:c r="G21" s="19" t="str">
        <x:v>Web Development Tool Lab</x:v>
      </x:c>
      <x:c r="H21" s="19" t="str">
        <x:v>033</x:v>
      </x:c>
      <x:c r="I21" s="19" t="str">
        <x:v>CAT01</x:v>
      </x:c>
      <x:c r="J21" s="19" t="str">
        <x:v>Computers</x:v>
      </x:c>
      <x:c r="K21" s="19" t="str">
        <x:v>Dell</x:v>
      </x:c>
      <x:c r="L21" s="19" t="str">
        <x:v>OptiPlex 3020 M</x:v>
      </x:c>
      <x:c r="M21" s="19" t="str">
        <x:v>MOD014</x:v>
      </x:c>
      <x:c r="N21" s="19" t="str">
        <x:v>20 (20)</x:v>
      </x:c>
      <x:c r="O21" s="19" t="n">
        <x:v>20</x:v>
      </x:c>
      <x:c r="P21" s="19" t="n">
        <x:v>20</x:v>
      </x:c>
      <x:c r="Q21" s="19" t="n">
        <x:v>20</x:v>
      </x:c>
      <x:c r="R21" s="19" t="n">
        <x:v>20</x:v>
      </x:c>
      <x:c r="S21" s="26" t="n">
        <x:v>39500</x:v>
      </x:c>
      <x:c r="T21" s="26" t="n">
        <x:v>790000</x:v>
      </x:c>
      <x:c r="U21" s="19" t="str">
        <x:v>SUP007</x:v>
      </x:c>
      <x:c r="V21" s="19" t="str">
        <x:v>Veetrag Computers Private Ltd.</x:v>
      </x:c>
      <x:c r="W21" s="19" t="str">
        <x:v>Veetrag Computers, Shree Hanuman Pani Purvatha, Bldg, A/P-Udgaon, Tal-Shirol, Dist-Kolhapur-416134</x:v>
      </x:c>
      <x:c r="X21" s="28" t="n">
        <x:v>42042</x:v>
      </x:c>
      <x:c r="Y21" s="19" t="str">
        <x:v>SUD02/1415/1426</x:v>
      </x:c>
      <x:c r="Z21" s="19" t="str">
        <x:v>-</x:v>
      </x:c>
      <x:c r="AA21" s="19" t="str">
        <x:v>-</x:v>
      </x:c>
      <x:c r="AB21" s="19" t="str">
        <x:v>ACTIVE/RECORDED</x:v>
      </x:c>
      <x:c r="AC21" s="19" t="str">
        <x:v>Dell Optiplex 3020 MI Interl Core i5-4570 Processor Quad Core, 6MB Cache, 3.2 GHz, HD Graphics 4600, Optiplex 3020, Mini Tower Chassis with Standard Power Supply, 4 GB 1 DIMM NDN-EDD, 1600 MHz Optiplex 500 GB, 3.5 inch serial ATA (7200 RPM) Hard Disk Drive, Mini Tower Chassis Mainstream Heat sink (95 Watts 16x Half Height DVD +/- RW Drive Monitor Power Cord (Euro India) 6A Intel Integrated Graphics, Internal Dell Business Audio Speaker, Dell MS111 USB optical Mouse Dell USB Entry Keyboard MS Media: Windows 8 (64 Bit) Resource DVD, # Year next Business Day onsite Service Dell</x:v>
      </x:c>
    </x:row>
    <x:row r="22" ht="34" customHeight="1">
      <x:c r="A22" s="19" t="str">
        <x:v>REC0018</x:v>
      </x:c>
      <x:c r="B22" s="19" t="str">
        <x:v>BAT0018</x:v>
      </x:c>
      <x:c r="C22" s="19" t="str">
        <x:v>Computers.pdf</x:v>
      </x:c>
      <x:c r="D22" s="19" t="n">
        <x:v>10</x:v>
      </x:c>
      <x:c r="E22" s="19" t="str">
        <x:v>LAB006</x:v>
      </x:c>
      <x:c r="F22" s="19" t="str">
        <x:v>D-06</x:v>
      </x:c>
      <x:c r="G22" s="19" t="str">
        <x:v>Web Development Tool Lab</x:v>
      </x:c>
      <x:c r="H22" s="19" t="str">
        <x:v>040</x:v>
      </x:c>
      <x:c r="I22" s="19" t="str">
        <x:v>CAT01</x:v>
      </x:c>
      <x:c r="J22" s="19" t="str">
        <x:v>Computers</x:v>
      </x:c>
      <x:c r="K22" s="19" t="str">
        <x:v>Dell</x:v>
      </x:c>
      <x:c r="L22" s="19" t="str">
        <x:v>OptiPlex 5090 SFF</x:v>
      </x:c>
      <x:c r="M22" s="19" t="str">
        <x:v>MOD015</x:v>
      </x:c>
      <x:c r="N22" s="19" t="str">
        <x:v>3 (3)</x:v>
      </x:c>
      <x:c r="O22" s="19" t="n">
        <x:v>3</x:v>
      </x:c>
      <x:c r="P22" s="19" t="n">
        <x:v>3</x:v>
      </x:c>
      <x:c r="Q22" s="19" t="n">
        <x:v>3</x:v>
      </x:c>
      <x:c r="R22" s="19" t="n">
        <x:v>3</x:v>
      </x:c>
      <x:c r="S22" s="26" t="n">
        <x:v>70933</x:v>
      </x:c>
      <x:c r="T22" s="26" t="n">
        <x:v>212799</x:v>
      </x:c>
      <x:c r="U22" s="19" t="str">
        <x:v>SUP007</x:v>
      </x:c>
      <x:c r="V22" s="19" t="str">
        <x:v>Veetrag Computers Private Ltd.</x:v>
      </x:c>
      <x:c r="W22" s="19" t="str">
        <x:v>Veetrag Computers Private Ltd. Plot No.7. Parshwanath Nagar, Near Jain Temple, Kupwad MIDC Road,Sangli-416415, Maharashtra, India.CIN-U51909PN20 14PTC152370, GSTIN NO. 27AAECV8865D1ZY</x:v>
      </x:c>
      <x:c r="X22" s="28" t="n">
        <x:v>44646</x:v>
      </x:c>
      <x:c r="Y22" s="19" t="str">
        <x:v>VCPL-2/2122/3412</x:v>
      </x:c>
      <x:c r="Z22" s="19" t="str">
        <x:v>-</x:v>
      </x:c>
      <x:c r="AA22" s="19" t="str">
        <x:v>-</x:v>
      </x:c>
      <x:c r="AB22" s="19" t="str">
        <x:v>ACTIVE/RECORDED</x:v>
      </x:c>
      <x:c r="AC22" s="19" t="str">
        <x:v>Dell Optiplex 5090 SFF, Ci7/2.5/8GB/1TB/ 18.5/WIN10 Prof/3 Yrs) OptiPlex 5090 SFF XCTO, Intel Core i5-11500(6 Cores /12MB/12T/2.7GHz to 4.6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Warranty: 3 Years Next Business Day Onsite Service by DELL Sr. No 21QYHP3, G0QYHP3, 6HHXTN3, Monitor Sr. 748PGM3,88JVTK3,708NGM3</x:v>
      </x:c>
    </x:row>
    <x:row r="23" ht="34" customHeight="1">
      <x:c r="A23" s="19" t="str">
        <x:v>REC0019</x:v>
      </x:c>
      <x:c r="B23" s="19" t="str">
        <x:v>BAT0019</x:v>
      </x:c>
      <x:c r="C23" s="19" t="str">
        <x:v>Computers.pdf</x:v>
      </x:c>
      <x:c r="D23" s="19" t="n">
        <x:v>11</x:v>
      </x:c>
      <x:c r="E23" s="19" t="str">
        <x:v>LAB007</x:v>
      </x:c>
      <x:c r="F23" s="19" t="str">
        <x:v>D-07</x:v>
      </x:c>
      <x:c r="G23" s="19" t="str">
        <x:v>Network Laboratory</x:v>
      </x:c>
      <x:c r="H23" s="19" t="str">
        <x:v>001</x:v>
      </x:c>
      <x:c r="I23" s="19" t="str">
        <x:v>CAT01</x:v>
      </x:c>
      <x:c r="J23" s="19" t="str">
        <x:v>Computers</x:v>
      </x:c>
      <x:c r="K23" s="19" t="str">
        <x:v>Dell</x:v>
      </x:c>
      <x:c r="L23" s="19" t="str">
        <x:v>OptiPlex 980 MT</x:v>
      </x:c>
      <x:c r="M23" s="19" t="str">
        <x:v>MOD016</x:v>
      </x:c>
      <x:c r="N23" s="19" t="str">
        <x:v>8 (20)</x:v>
      </x:c>
      <x:c r="O23" s="19" t="n">
        <x:v>8</x:v>
      </x:c>
      <x:c r="P23" s="19" t="n">
        <x:v>20</x:v>
      </x:c>
      <x:c r="Q23" s="19" t="n">
        <x:v>20</x:v>
      </x:c>
      <x:c r="R23" s="19" t="n">
        <x:v>8</x:v>
      </x:c>
      <x:c r="S23" s="26" t="n">
        <x:v>31600</x:v>
      </x:c>
      <x:c r="T23" s="26" t="n">
        <x:v>252800</x:v>
      </x:c>
      <x:c r="U23" s="19" t="str">
        <x:v>SUP007</x:v>
      </x:c>
      <x:c r="V23" s="19" t="str">
        <x:v>Veetrag Computers Private Ltd.</x:v>
      </x:c>
      <x:c r="W23" s="19" t="str">
        <x:v>&amp;a mp;quot;&amp;a mp;amp;amp;quot;&amp;a mp;amp;amp;amp;am p;quot;Veetrag Computers, Shree Hanuman Pani Purvatha Building, A/P- udgaon, Tal- Shirol, Dist- Kolhapur Pin- 416134&amp;am p;amp;amp;quot;&amp; ;amp;amp;amp;amp;q uot;&amp;a mp;amp;quot;</x:v>
      </x:c>
      <x:c r="X23" s="28" t="n">
        <x:v>40848</x:v>
      </x:c>
      <x:c r="Y23" s="19" t="str">
        <x:v>SUD011/1112/0454</x:v>
      </x:c>
      <x:c r="Z23" s="19" t="str">
        <x:v>-</x:v>
      </x:c>
      <x:c r="AA23" s="19" t="str">
        <x:v>12 Item No.01,06,10,11,18=05 is Write-off as per decision Taken in KES GC Meeting held on 26/11/2021. Item No.2,3,5,14,16,17,19=07 is Write-off as per decision Taken in KES GC Meeting held on 26/09/2023.</x:v>
      </x:c>
      <x:c r="AB23" s="19" t="str">
        <x:v>PARTIALLY_WRITTEN_OFF</x:v>
      </x:c>
      <x:c r="AC23" s="19" t="str">
        <x:v>Dell Optiplex- 980 MT( Ci5 3.2/2GB/320/DRW/3 Year) Intel&amp;amp;#174; Core ™ (I5-650 3.2 Ghz, 4MB) Integrated Intel 657, Express Chipset Motherboard,2 GB NECC DDR3 1333 MHz SDRAM Memory,Ethernet LAN (10/100/1000),320 7.2 K RPM SATA Hard Drive,DVD RW,Int.Speaker,Optical USB Mouse, Keyboard,DOS Factory Installed,18.5 &amp;amp;quot; Dell wide TFT Monitor, 3 Year onsite Service DELL</x:v>
      </x:c>
    </x:row>
    <x:row r="24" ht="34" customHeight="1">
      <x:c r="A24" s="19" t="str">
        <x:v>REC0020</x:v>
      </x:c>
      <x:c r="B24" s="19" t="str">
        <x:v>BAT0020</x:v>
      </x:c>
      <x:c r="C24" s="19" t="str">
        <x:v>Computers.pdf</x:v>
      </x:c>
      <x:c r="D24" s="19" t="n">
        <x:v>12</x:v>
      </x:c>
      <x:c r="E24" s="19" t="str">
        <x:v>LAB007</x:v>
      </x:c>
      <x:c r="F24" s="19" t="str">
        <x:v>D-07</x:v>
      </x:c>
      <x:c r="G24" s="19" t="str">
        <x:v>Network Laboratory</x:v>
      </x:c>
      <x:c r="H24" s="19" t="str">
        <x:v>014</x:v>
      </x:c>
      <x:c r="I24" s="19" t="str">
        <x:v>CAT01</x:v>
      </x:c>
      <x:c r="J24" s="19" t="str">
        <x:v>Computers</x:v>
      </x:c>
      <x:c r="K24" s="19" t="str">
        <x:v>Dell</x:v>
      </x:c>
      <x:c r="L24" s="19" t="str">
        <x:v>OptiPlex 3050 M</x:v>
      </x:c>
      <x:c r="M24" s="19" t="str">
        <x:v>MOD017</x:v>
      </x:c>
      <x:c r="N24" s="19" t="str">
        <x:v>7 (7)</x:v>
      </x:c>
      <x:c r="O24" s="19" t="n">
        <x:v>7</x:v>
      </x:c>
      <x:c r="P24" s="19" t="n">
        <x:v>7</x:v>
      </x:c>
      <x:c r="Q24" s="19" t="n">
        <x:v>7</x:v>
      </x:c>
      <x:c r="R24" s="19" t="n">
        <x:v>7</x:v>
      </x:c>
      <x:c r="S24" s="26" t="n">
        <x:v>44510</x:v>
      </x:c>
      <x:c r="T24" s="26" t="n">
        <x:v>311570</x:v>
      </x:c>
      <x:c r="U24" s="19" t="str">
        <x:v>SUP007</x:v>
      </x:c>
      <x:c r="V24" s="19" t="str">
        <x:v>Veetrag Computers Private Ltd.</x:v>
      </x:c>
      <x:c r="W24" s="19" t="str">
        <x:v>Veetrag Computers Private Ltd. Plot No.7. Parshwanath Nagar, Near Jain Temple, Kupwad MIDC Road,Sangli-416415, Maharashtra, India.CIN-U51909PN20 14PTC152370, GSTIN NO. 27AAECV8865D1ZY</x:v>
      </x:c>
      <x:c r="X24" s="28" t="n">
        <x:v>43008</x:v>
      </x:c>
      <x:c r="Y24" s="19" t="str">
        <x:v>VCPL-2/1718/1320</x:v>
      </x:c>
      <x:c r="Z24" s="19" t="str">
        <x:v>-</x:v>
      </x:c>
      <x:c r="AA24" s="19" t="str">
        <x:v>- OK</x:v>
      </x:c>
      <x:c r="AB24" s="19" t="str">
        <x:v>OK</x:v>
      </x:c>
      <x:c r="AC24" s="19" t="str">
        <x:v>Dell Optiplex3050M, Intel Core i7 Processor-770 (Quad Core, 8MB,8T 3.6 GHz, 65W); Spports Windows 10 / Linux 4 GB(1X4GB)2400Mhz DDR4 Memory, 1 TB 7.2K RPM SATA 6gbps Entry 3.5 inch SATAcabled Hard Drive, Integrated Intel HD Graphics, Dell OptiPlex VGA Video Port, Mini Tower, No PCI Add-in Card,No Wireless Card, Dell Optical Mouse MS116 Black, Dell Multimedia Keyboard KB216 Black Keyboard US International- (QWERTY) " Windows 10 Home(64bit) Single language English, Mini Tower Chasis +Standard 240 W SMPS,18.5" Dell 1916 HV Monitor. Warranty: 3 Year Next Bussiness Day Onsite Service By Del Dell</x:v>
      </x:c>
    </x:row>
    <x:row r="25" ht="34" customHeight="1">
      <x:c r="A25" s="19" t="str">
        <x:v>REC0021</x:v>
      </x:c>
      <x:c r="B25" s="19" t="str">
        <x:v>BAT0021</x:v>
      </x:c>
      <x:c r="C25" s="19" t="str">
        <x:v>Computers.pdf</x:v>
      </x:c>
      <x:c r="D25" s="19" t="n">
        <x:v>13</x:v>
      </x:c>
      <x:c r="E25" s="19" t="str">
        <x:v>LAB007</x:v>
      </x:c>
      <x:c r="F25" s="19" t="str">
        <x:v>D-07</x:v>
      </x:c>
      <x:c r="G25" s="19" t="str">
        <x:v>Network Laboratory</x:v>
      </x:c>
      <x:c r="H25" s="19" t="str">
        <x:v>016</x:v>
      </x:c>
      <x:c r="I25" s="19" t="str">
        <x:v>CAT01</x:v>
      </x:c>
      <x:c r="J25" s="19" t="str">
        <x:v>Computers</x:v>
      </x:c>
      <x:c r="K25" s="19" t="str">
        <x:v>Dell</x:v>
      </x:c>
      <x:c r="L25" s="19" t="str">
        <x:v>OptiPlex 3050 MT</x:v>
      </x:c>
      <x:c r="M25" s="19" t="str">
        <x:v>MOD018</x:v>
      </x:c>
      <x:c r="N25" s="19" t="str">
        <x:v>3 (3)</x:v>
      </x:c>
      <x:c r="O25" s="19" t="n">
        <x:v>3</x:v>
      </x:c>
      <x:c r="P25" s="19" t="n">
        <x:v>3</x:v>
      </x:c>
      <x:c r="Q25" s="19" t="n">
        <x:v>3</x:v>
      </x:c>
      <x:c r="R25" s="19" t="n">
        <x:v>3</x:v>
      </x:c>
      <x:c r="S25" s="26" t="n">
        <x:v>38300</x:v>
      </x:c>
      <x:c r="T25" s="26" t="n">
        <x:v>114900</x:v>
      </x:c>
      <x:c r="U25" s="19" t="str">
        <x:v>SUP007</x:v>
      </x:c>
      <x:c r="V25" s="19" t="str">
        <x:v>Veetrag Computers Private Ltd.</x:v>
      </x:c>
      <x:c r="W25" s="19" t="str">
        <x:v>Veetrag Computers Private Ltd. Plot No.7. Parshwanath Nagar, Near Jain Temple, Kupwad MIDC Road,Sangli-416415, Maharashtra, India.CIN-U51909PN20 14PTC152370, GSTIN NO. 27AAECV8865D1ZY</x:v>
      </x:c>
      <x:c r="X25" s="28" t="n">
        <x:v>43542</x:v>
      </x:c>
      <x:c r="Y25" s="19" t="str">
        <x:v>VCPL-2/1819/4597</x:v>
      </x:c>
      <x:c r="Z25" s="19" t="str">
        <x:v>-</x:v>
      </x:c>
      <x:c r="AA25" s="19" t="str">
        <x:v>-</x:v>
      </x:c>
      <x:c r="AB25" s="19" t="str">
        <x:v>ACTIVE/RECORDED</x:v>
      </x:c>
      <x:c r="AC25" s="19" t="str">
        <x:v>Dell Optiplex3050MT, (Ci5/3.4/4GB/1TB/DRW/18.5/3 Yr) Optiplex 3050 Mini Tower BTX Intel Core i5 Processor-7500 (Quad Core, 6MB,4T 3.4 GHz, 65W); 4 GB(1X4GB) 2400Mhz DDR4 Memory, 1 TB 7.2K RPM SATA 6gbps Entry 3.5 inch SATA cabled Hard Drive, tray load DVD Drive (Reads and Writes to DVD/CD) DVD +/- Bezel Monitor Power Cord (EURO-INDIA), 6A Kit- Power Cord, 5A VGA Port, Integrated Intel Graphics,No PCI Add-in Card,No Wireless Card, Dell Optical Mouse MS116 Black, Dell Multimedia Keyboard KB216 Black Keyboard US International-(QWERTY), Ubuntu Linux 16.04, standard 240 W SMPS,19" Dell E1916 HV Monitor. Warranty: 3 Year Next Bussiness Day Onsite Service By Dell Sr No.9P0LZL2, 9P1GZL2,9P01DZL2 Monitor: 5TLR7D2,3NLR7D2,4SLR7D2 (GST 18% Included) Dell</x:v>
      </x:c>
    </x:row>
    <x:row r="26" ht="34" customHeight="1">
      <x:c r="A26" s="19" t="str">
        <x:v>REC0022</x:v>
      </x:c>
      <x:c r="B26" s="19" t="str">
        <x:v>BAT0022</x:v>
      </x:c>
      <x:c r="C26" s="19" t="str">
        <x:v>Computers.pdf</x:v>
      </x:c>
      <x:c r="D26" s="19" t="n">
        <x:v>14</x:v>
      </x:c>
      <x:c r="E26" s="19" t="str">
        <x:v>LAB007</x:v>
      </x:c>
      <x:c r="F26" s="19" t="str">
        <x:v>D-07</x:v>
      </x:c>
      <x:c r="G26" s="19" t="str">
        <x:v>Network Laboratory</x:v>
      </x:c>
      <x:c r="H26" s="19" t="str">
        <x:v>021</x:v>
      </x:c>
      <x:c r="I26" s="19" t="str">
        <x:v>CAT01</x:v>
      </x:c>
      <x:c r="J26" s="19" t="str">
        <x:v>Computers</x:v>
      </x:c>
      <x:c r="K26" s="19" t="str">
        <x:v>Dell</x:v>
      </x:c>
      <x:c r="L26" s="19" t="str">
        <x:v>OptiPlex 3080</x:v>
      </x:c>
      <x:c r="M26" s="19" t="str">
        <x:v>MOD019</x:v>
      </x:c>
      <x:c r="N26" s="19" t="str">
        <x:v>4 (4)</x:v>
      </x:c>
      <x:c r="O26" s="19" t="n">
        <x:v>4</x:v>
      </x:c>
      <x:c r="P26" s="19" t="n">
        <x:v>4</x:v>
      </x:c>
      <x:c r="Q26" s="19" t="n">
        <x:v>4</x:v>
      </x:c>
      <x:c r="R26" s="19" t="n">
        <x:v>4</x:v>
      </x:c>
      <x:c r="S26" s="26" t="n">
        <x:v>44650</x:v>
      </x:c>
      <x:c r="T26" s="26" t="n">
        <x:v>178600</x:v>
      </x:c>
      <x:c r="U26" s="19" t="str">
        <x:v>SUP007</x:v>
      </x:c>
      <x:c r="V26" s="19" t="str">
        <x:v>Veetrag Computers Private Ltd.</x:v>
      </x:c>
      <x:c r="W26" s="19" t="str">
        <x:v>Veetrag Computers Private Ltd. Plot No.7. Parshwanath Nagar, Near Jain Temple, Kupwad MIDC Road,Sangli-416415, Maharashtra, India.CIN-U51909PN20 14PTC152370, GSTIN NO. 27AAECV8865D1ZY</x:v>
      </x:c>
      <x:c r="X26" s="28" t="n">
        <x:v>44257</x:v>
      </x:c>
      <x:c r="Y26" s="19" t="str">
        <x:v>VCPL-2/2021/3632</x:v>
      </x:c>
      <x:c r="Z26" s="19" t="str">
        <x:v>-</x:v>
      </x:c>
      <x:c r="AA26" s="19" t="str">
        <x:v>-</x:v>
      </x:c>
      <x:c r="AB26" s="19" t="str">
        <x:v>ACTIVE/RECORDED</x:v>
      </x:c>
      <x:c r="AC26" s="19" t="str">
        <x:v>Dell Computers: Optiplex3080: SFF,(Ci5/3.6/8GB/1TB/WIN10Home/19.5/3 Yrs) Intel Core i5 Processor-10500 (12MB,3.6 GHz,Acceleration Use Only Intel Core i5-10500, 8GB(1X8GB) DDR4 Memory, 1 TB 7.2K RPM SATA , Integrated Intel HD Graphics, Dell OptiPlex VGA Video Port, Mini Tower, No PCI Add-in Card,No Wireless Card, Dell Optical Mouse MS116 Black, Dell Multimedia Keyboard KB216 Black Keyboard US International , Mini Tower Chasis +Standard 240 W SMPS,19.5" Dell E2020 H Monitor. DELL</x:v>
      </x:c>
    </x:row>
    <x:row r="27" ht="34" customHeight="1">
      <x:c r="A27" s="19" t="str">
        <x:v>REC0023</x:v>
      </x:c>
      <x:c r="B27" s="19" t="str">
        <x:v>BAT0023</x:v>
      </x:c>
      <x:c r="C27" s="19" t="str">
        <x:v>Computers.pdf</x:v>
      </x:c>
      <x:c r="D27" s="19" t="n">
        <x:v>15</x:v>
      </x:c>
      <x:c r="E27" s="19" t="str">
        <x:v>LAB007</x:v>
      </x:c>
      <x:c r="F27" s="19" t="str">
        <x:v>D-07</x:v>
      </x:c>
      <x:c r="G27" s="19" t="str">
        <x:v>Network Laboratory</x:v>
      </x:c>
      <x:c r="H27" s="19" t="str">
        <x:v>027</x:v>
      </x:c>
      <x:c r="I27" s="19" t="str">
        <x:v>CAT01</x:v>
      </x:c>
      <x:c r="J27" s="19" t="str">
        <x:v>Computers</x:v>
      </x:c>
      <x:c r="K27" s="19" t="str">
        <x:v>Dell</x:v>
      </x:c>
      <x:c r="L27" s="19" t="str">
        <x:v>OptiPlex 5090 SFF</x:v>
      </x:c>
      <x:c r="M27" s="19" t="str">
        <x:v>MOD005</x:v>
      </x:c>
      <x:c r="N27" s="19" t="str">
        <x:v>8 (8)</x:v>
      </x:c>
      <x:c r="O27" s="19" t="n">
        <x:v>8</x:v>
      </x:c>
      <x:c r="P27" s="19" t="n">
        <x:v>8</x:v>
      </x:c>
      <x:c r="Q27" s="19" t="n">
        <x:v>8</x:v>
      </x:c>
      <x:c r="R27" s="19" t="n">
        <x:v>8</x:v>
      </x:c>
      <x:c r="S27" s="26" t="n">
        <x:v>75900</x:v>
      </x:c>
      <x:c r="T27" s="26" t="n">
        <x:v>607200</x:v>
      </x:c>
      <x:c r="U27" s="19" t="str">
        <x:v>SUP007</x:v>
      </x:c>
      <x:c r="V27" s="19" t="str">
        <x:v>Veetrag Computers Private Ltd.</x:v>
      </x:c>
      <x:c r="W27" s="19" t="str">
        <x:v>Veetrag Computers Private Ltd. Plot No.7. Parshwanath Nagar, Near Jain Temple, Kupwad MIDC Road,Sangli-416415, Maharashtra, India.CIN-U51909PN20 14PTC152370, GSTIN NO. 27AAECV8865D1ZY</x:v>
      </x:c>
      <x:c r="X27" s="28" t="n">
        <x:v>44646</x:v>
      </x:c>
      <x:c r="Y27" s="19" t="str">
        <x:v>VCPL-2/2122/3417</x:v>
      </x:c>
      <x:c r="Z27" s="19" t="str">
        <x:v>-</x:v>
      </x:c>
      <x:c r="AA27" s="19" t="str">
        <x:v>-</x:v>
      </x:c>
      <x:c r="AB27" s="19" t="str">
        <x:v>ACTIVE/RECORDED</x:v>
      </x:c>
      <x:c r="AC27" s="19" t="str">
        <x:v>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KB216B,Dell 19: Monitor E1920H, OptiPlex 5090 Small Form Factor with 200W Up to 85% Efficient power Supply Warranty: 3 Years Next Business Day Onsite Service by DELL Sr. No.30QYP3,10QYHP3,GZPYHP3,40QYHP 3,HZPYHP3,50QYHP3,20QYHP3 Monitor Sr. 7-bmgm3,748ngm3,6ywmgm3 DELL</x:v>
      </x:c>
    </x:row>
    <x:row r="28" ht="34" customHeight="1">
      <x:c r="A28" s="19" t="str">
        <x:v>REC0024</x:v>
      </x:c>
      <x:c r="B28" s="19" t="str">
        <x:v>BAT0024</x:v>
      </x:c>
      <x:c r="C28" s="19" t="str">
        <x:v>Computers.pdf</x:v>
      </x:c>
      <x:c r="D28" s="19" t="n">
        <x:v>16</x:v>
      </x:c>
      <x:c r="E28" s="19" t="str">
        <x:v>LAB007</x:v>
      </x:c>
      <x:c r="F28" s="19" t="str">
        <x:v>D-07</x:v>
      </x:c>
      <x:c r="G28" s="19" t="str">
        <x:v>Network Laboratory</x:v>
      </x:c>
      <x:c r="H28" s="19" t="str">
        <x:v>028</x:v>
      </x:c>
      <x:c r="I28" s="19" t="str">
        <x:v>CAT01</x:v>
      </x:c>
      <x:c r="J28" s="19" t="str">
        <x:v>Computers</x:v>
      </x:c>
      <x:c r="K28" s="19" t="str">
        <x:v>Dell</x:v>
      </x:c>
      <x:c r="L28" s="19" t="str">
        <x:v>OptiPlex 5000 MT</x:v>
      </x:c>
      <x:c r="M28" s="19" t="str">
        <x:v>MOD020</x:v>
      </x:c>
      <x:c r="N28" s="19" t="str">
        <x:v>5 (5)</x:v>
      </x:c>
      <x:c r="O28" s="19" t="n">
        <x:v>5</x:v>
      </x:c>
      <x:c r="P28" s="19" t="n">
        <x:v>5</x:v>
      </x:c>
      <x:c r="Q28" s="19" t="n">
        <x:v>5</x:v>
      </x:c>
      <x:c r="R28" s="19" t="n">
        <x:v>5</x:v>
      </x:c>
      <x:c r="S28" s="26" t="n">
        <x:v>91250</x:v>
      </x:c>
      <x:c r="T28" s="26" t="n">
        <x:v>456250</x:v>
      </x:c>
      <x:c r="U28" s="19" t="str">
        <x:v>SUP007</x:v>
      </x:c>
      <x:c r="V28" s="19" t="str">
        <x:v>Veetrag Computers Private Ltd.</x:v>
      </x:c>
      <x:c r="W28" s="19" t="str">
        <x:v>Veetrag Computers Private Ltd. Plot No.7. Parshwanath Nagar, Near Jain Temple, Kupwad MIDC Road,Sangli-416415, Maharashtra, India.CIN-U51909PN20 14PTC152370, GSTIN NO. 27AAECV8865D1ZY</x:v>
      </x:c>
      <x:c r="X28" s="28" t="n">
        <x:v>44893</x:v>
      </x:c>
      <x:c r="Y28" s="19" t="str">
        <x:v>VCPL-2/2223/2340</x:v>
      </x:c>
      <x:c r="Z28" s="19" t="str">
        <x:v>-</x:v>
      </x:c>
      <x:c r="AA28" s="19" t="str">
        <x:v>-</x:v>
      </x:c>
      <x:c r="AB28" s="19" t="str">
        <x:v>ACTIVE/RECORDED</x:v>
      </x:c>
      <x:c r="AC28" s="19" t="str">
        <x:v>Dell Optiplex 5000 MT, Ci7/2.1/8GB/512TB/ 18.5"/WIN10 Prof/19.5"/3 Yrs) OptiPlex 5000 Tower, Intel Core i7-12700(12 Cores/25MB/20T/2.1GHz to 4.9 Ghz/65W) support Win11/Win11 DG/ Linux) 8GB (1X8G) DDR4 non ECC Memory, M.2 2230 512 GB PCIe NVME Class 35 Solid State Drive (EM) Intel integrated graphics, Int Speaker, Thermal PAD for Tower, 6 Amp Power Cord, No Aditional Add in Cards, No PCIe add-in card, Dell USB Optical Mouse MS116-Black,Dell entry USB Keyboard KB216B,Dell 20: Monitor E2020H, Windows Pro(Included Win 11 Pro License) Warranty: 3 Years Next Business Day Onsite Service by DELL Sr. No.D566JT3,B566JT3,H566JT3,F566JT3,C5 66JT3 Monitor S ( GST 18% Included) DELL</x:v>
      </x:c>
    </x:row>
    <x:row r="29" ht="34" customHeight="1">
      <x:c r="A29" s="19" t="str">
        <x:v>REC0025</x:v>
      </x:c>
      <x:c r="B29" s="19" t="str">
        <x:v>BAT0025</x:v>
      </x:c>
      <x:c r="C29" s="19" t="str">
        <x:v>Computers.pdf</x:v>
      </x:c>
      <x:c r="D29" s="19" t="n">
        <x:v>17</x:v>
      </x:c>
      <x:c r="E29" s="19" t="str">
        <x:v>LAB008</x:v>
      </x:c>
      <x:c r="F29" s="19" t="str">
        <x:v>D-08</x:v>
      </x:c>
      <x:c r="G29" s="19" t="str">
        <x:v>Artificial Intelligence &amp; Machine Learning Laboratory</x:v>
      </x:c>
      <x:c r="H29" s="19" t="str">
        <x:v>002</x:v>
      </x:c>
      <x:c r="I29" s="19" t="str">
        <x:v>CAT01</x:v>
      </x:c>
      <x:c r="J29" s="19" t="str">
        <x:v>Computers</x:v>
      </x:c>
      <x:c r="K29" s="19" t="str">
        <x:v>Dell</x:v>
      </x:c>
      <x:c r="L29" s="19" t="str">
        <x:v>OptiPlex 390</x:v>
      </x:c>
      <x:c r="M29" s="19" t="str">
        <x:v>MOD021</x:v>
      </x:c>
      <x:c r="N29" s="19" t="str">
        <x:v>15 (15)</x:v>
      </x:c>
      <x:c r="O29" s="19" t="n">
        <x:v>15</x:v>
      </x:c>
      <x:c r="P29" s="19" t="n">
        <x:v>15</x:v>
      </x:c>
      <x:c r="Q29" s="19" t="n">
        <x:v>15</x:v>
      </x:c>
      <x:c r="R29" s="19" t="n">
        <x:v>15</x:v>
      </x:c>
      <x:c r="S29" s="26" t="n">
        <x:v>31000</x:v>
      </x:c>
      <x:c r="T29" s="26" t="n">
        <x:v>465000</x:v>
      </x:c>
      <x:c r="U29" s="19" t="str">
        <x:v>SUP007</x:v>
      </x:c>
      <x:c r="V29" s="19" t="str">
        <x:v>Veetrag Computers Private Ltd.</x:v>
      </x:c>
      <x:c r="W29" s="19" t="str">
        <x:v>"Veetrag Computers, Shree Hanuman Pani Purvatha Building, A/P- udgaon, Tal- Shirol, Dist- Kolhapur Pin- 416134"</x:v>
      </x:c>
      <x:c r="X29" s="28" t="n">
        <x:v>41106</x:v>
      </x:c>
      <x:c r="Y29" s="19" t="str">
        <x:v>SUD07/1213/0209</x:v>
      </x:c>
      <x:c r="Z29" s="19" t="str">
        <x:v>-</x:v>
      </x:c>
      <x:c r="AA29" s="19" t="str">
        <x:v>-</x:v>
      </x:c>
      <x:c r="AB29" s="19" t="str">
        <x:v>ACTIVE/RECORDED</x:v>
      </x:c>
      <x:c r="AC29" s="19" t="str">
        <x:v>DELL COMPUTERS : Dell Optiplex- 390 (Ci5/3.10/4GB/500/DRW/3Yr) Intel Core i5-2400 Processor (3.10 Ghz) HD Graphics,4 GB DDR3 SD RAM, 500 GB HDD SATA, Dell Optical Mous &amp; Keyboard. Dell Optiplex- 390</x:v>
      </x:c>
    </x:row>
    <x:row r="30" ht="34" customHeight="1">
      <x:c r="A30" s="19" t="str">
        <x:v>REC0026</x:v>
      </x:c>
      <x:c r="B30" s="19" t="str">
        <x:v>BAT0026</x:v>
      </x:c>
      <x:c r="C30" s="19" t="str">
        <x:v>Computers.pdf</x:v>
      </x:c>
      <x:c r="D30" s="19" t="n">
        <x:v>17</x:v>
      </x:c>
      <x:c r="E30" s="19" t="str">
        <x:v>LAB008</x:v>
      </x:c>
      <x:c r="F30" s="19" t="str">
        <x:v>D-08</x:v>
      </x:c>
      <x:c r="G30" s="19" t="str">
        <x:v>Artificial Intelligence &amp; Machine Learning Laboratory</x:v>
      </x:c>
      <x:c r="H30" s="19" t="str">
        <x:v>006</x:v>
      </x:c>
      <x:c r="I30" s="19" t="str">
        <x:v>CAT01</x:v>
      </x:c>
      <x:c r="J30" s="19" t="str">
        <x:v>Computers</x:v>
      </x:c>
      <x:c r="K30" s="19" t="str">
        <x:v>Dell</x:v>
      </x:c>
      <x:c r="L30" s="19" t="str">
        <x:v>OptiPlex 3010</x:v>
      </x:c>
      <x:c r="M30" s="19" t="str">
        <x:v>MOD022</x:v>
      </x:c>
      <x:c r="N30" s="19" t="str">
        <x:v>5 (5)</x:v>
      </x:c>
      <x:c r="O30" s="19" t="n">
        <x:v>5</x:v>
      </x:c>
      <x:c r="P30" s="19" t="n">
        <x:v>5</x:v>
      </x:c>
      <x:c r="Q30" s="19" t="n">
        <x:v>5</x:v>
      </x:c>
      <x:c r="R30" s="19" t="n">
        <x:v>5</x:v>
      </x:c>
      <x:c r="S30" s="26" t="n">
        <x:v>33600</x:v>
      </x:c>
      <x:c r="T30" s="26" t="n">
        <x:v>168000</x:v>
      </x:c>
      <x:c r="U30" s="19" t="str">
        <x:v>SUP007</x:v>
      </x:c>
      <x:c r="V30" s="19" t="str">
        <x:v>Veetrag Computers Private Ltd.</x:v>
      </x:c>
      <x:c r="W30" s="19" t="str">
        <x:v>Veetrag Computers, Shree Hanuman Pani Puravatha, Bldg a/p Udgaon, Tal - shirol Dist - Kolhapur Ph - 0233-2670885,267079 8</x:v>
      </x:c>
      <x:c r="X30" s="28" t="n">
        <x:v>41540</x:v>
      </x:c>
      <x:c r="Y30" s="19" t="str">
        <x:v>SUD09/1314/0631</x:v>
      </x:c>
      <x:c r="Z30" s="19" t="str">
        <x:v>-</x:v>
      </x:c>
      <x:c r="AA30" s="19" t="str">
        <x:v>-</x:v>
      </x:c>
      <x:c r="AB30" s="19" t="str">
        <x:v>ACTIVE/RECORDED</x:v>
      </x:c>
      <x:c r="AC30" s="19" t="str">
        <x:v>Dell Optiplex- 3010 (Ci5/3.20/4GB/500/DRW/3Yr) 3rd Generation 500 GB 7200 rpm Sata Hard Disk, 4 GB DDR3 RAM, DVD+/- RW, Chipset Motherboard, USB KB, Mouse, wide LED 18.5" Monitor, 3 Year Warranty. Dell Optiplex- 3010</x:v>
      </x:c>
    </x:row>
    <x:row r="31" ht="34" customHeight="1">
      <x:c r="A31" s="19" t="str">
        <x:v>REC0027</x:v>
      </x:c>
      <x:c r="B31" s="19" t="str">
        <x:v>BAT0027</x:v>
      </x:c>
      <x:c r="C31" s="19" t="str">
        <x:v>Computers.pdf</x:v>
      </x:c>
      <x:c r="D31" s="19" t="n">
        <x:v>18</x:v>
      </x:c>
      <x:c r="E31" s="19" t="str">
        <x:v>LAB008</x:v>
      </x:c>
      <x:c r="F31" s="19" t="str">
        <x:v>D-08</x:v>
      </x:c>
      <x:c r="G31" s="19" t="str">
        <x:v>Artificial Intelligence &amp; Machine Learning Laboratory</x:v>
      </x:c>
      <x:c r="H31" s="19" t="str">
        <x:v>018</x:v>
      </x:c>
      <x:c r="I31" s="19" t="str">
        <x:v>CAT01</x:v>
      </x:c>
      <x:c r="J31" s="19" t="str">
        <x:v>Computers</x:v>
      </x:c>
      <x:c r="K31" s="19" t="str">
        <x:v>Dell</x:v>
      </x:c>
      <x:c r="L31" s="19" t="str">
        <x:v>OptiPlex 3060 MT</x:v>
      </x:c>
      <x:c r="M31" s="19" t="str">
        <x:v>MOD010</x:v>
      </x:c>
      <x:c r="N31" s="19" t="str">
        <x:v>4 (4)</x:v>
      </x:c>
      <x:c r="O31" s="19" t="n">
        <x:v>4</x:v>
      </x:c>
      <x:c r="P31" s="19" t="n">
        <x:v>4</x:v>
      </x:c>
      <x:c r="Q31" s="19" t="n">
        <x:v>4</x:v>
      </x:c>
      <x:c r="R31" s="19" t="n">
        <x:v>4</x:v>
      </x:c>
      <x:c r="S31" s="26" t="n">
        <x:v>47500</x:v>
      </x:c>
      <x:c r="T31" s="26" t="n">
        <x:v>190000</x:v>
      </x:c>
      <x:c r="U31" s="19" t="str">
        <x:v>SUP007</x:v>
      </x:c>
      <x:c r="V31" s="19" t="str">
        <x:v>Veetrag Computers Private Ltd.</x:v>
      </x:c>
      <x:c r="W31" s="19" t="str">
        <x:v>Veetrag Computers , Sangli</x:v>
      </x:c>
      <x:c r="X31" s="28" t="n">
        <x:v>43370</x:v>
      </x:c>
      <x:c r="Y31" s="19" t="str">
        <x:v>VCPL-2/1819/2165</x:v>
      </x:c>
      <x:c r="Z31" s="19" t="str">
        <x:v>-</x:v>
      </x:c>
      <x:c r="AA31" s="19" t="str">
        <x:v>- ok</x:v>
      </x:c>
      <x:c r="AB31" s="19" t="str">
        <x:v>OK</x:v>
      </x:c>
      <x:c r="AC31" s="19" t="str">
        <x:v>Computers: Dell Optiflex 3060 MT (Ci7/4.6/4 GB/1 TB/18.5"/3 Year Intel Core i7 Processor-8700 (6 Core/12MB/12T/up to 4.6 GHz, 65W); Support Windows 10 / Linux 4 GB(1X4GB)2600Mhz DDR4 UDIMM nOn -ECC 3.5 inch 1 TB 7200 RPM SATA Hard Disk Drive Intel Integrated Graphics,Dell Optical Mouse MS116 Black, Dell Multimedia Keyboard KB216 Black Keyboard US International,optiplex3060Tower with 260W up to, 19" Dell 1916 HE Monitor,Ubuntu Linux 16.04, Warranty: 3 Year Next Business Day Onsite Service By Dell Sr. No.50W89R2,515C9R2,50XB9R2,513J9R2 DELL</x:v>
      </x:c>
    </x:row>
    <x:row r="32" ht="34" customHeight="1">
      <x:c r="A32" s="19" t="str">
        <x:v>REC0028</x:v>
      </x:c>
      <x:c r="B32" s="19" t="str">
        <x:v>BAT0028</x:v>
      </x:c>
      <x:c r="C32" s="19" t="str">
        <x:v>Computers.pdf</x:v>
      </x:c>
      <x:c r="D32" s="19" t="n">
        <x:v>18</x:v>
      </x:c>
      <x:c r="E32" s="19" t="str">
        <x:v>LAB008</x:v>
      </x:c>
      <x:c r="F32" s="19" t="str">
        <x:v>D-08</x:v>
      </x:c>
      <x:c r="G32" s="19" t="str">
        <x:v>Artificial Intelligence &amp; Machine Learning Laboratory</x:v>
      </x:c>
      <x:c r="H32" s="19" t="str">
        <x:v>022</x:v>
      </x:c>
      <x:c r="I32" s="19" t="str">
        <x:v>CAT01</x:v>
      </x:c>
      <x:c r="J32" s="19" t="str">
        <x:v>Computers</x:v>
      </x:c>
      <x:c r="K32" s="19" t="str">
        <x:v>Dell</x:v>
      </x:c>
      <x:c r="L32" s="19" t="str">
        <x:v>OptiPlex 7000 SFF</x:v>
      </x:c>
      <x:c r="M32" s="19" t="str">
        <x:v>MOD023</x:v>
      </x:c>
      <x:c r="N32" s="19" t="str">
        <x:v>4 (4)</x:v>
      </x:c>
      <x:c r="O32" s="19" t="n">
        <x:v>4</x:v>
      </x:c>
      <x:c r="P32" s="19" t="n">
        <x:v>4</x:v>
      </x:c>
      <x:c r="Q32" s="19" t="n">
        <x:v>4</x:v>
      </x:c>
      <x:c r="R32" s="19" t="n">
        <x:v>4</x:v>
      </x:c>
      <x:c r="S32" s="26" t="n">
        <x:v>91250</x:v>
      </x:c>
      <x:c r="T32" s="26" t="n">
        <x:v>365000</x:v>
      </x:c>
      <x:c r="U32" s="19" t="str">
        <x:v>SUP007</x:v>
      </x:c>
      <x:c r="V32" s="19" t="str">
        <x:v>Veetrag Computers Private Ltd.</x:v>
      </x:c>
      <x:c r="W32" s="19" t="str">
        <x:v>Veetrag Computers Private Ltd. Plot No.7. Parshwanath Nagar, Near Jain Temple, Kupwad MIDC Road,Sangli-416415, Maharashtra, India.CIN-U51909PN20 14PTC152370, GSTIN NO. 27AAECV8865D1ZY</x:v>
      </x:c>
      <x:c r="X32" s="28" t="n">
        <x:v>45157</x:v>
      </x:c>
      <x:c r="Y32" s="19" t="str">
        <x:v>VCPL-2/2324/1489</x:v>
      </x:c>
      <x:c r="Z32" s="19" t="str">
        <x:v>-</x:v>
      </x:c>
      <x:c r="AA32" s="19" t="str">
        <x:v>-</x:v>
      </x:c>
      <x:c r="AB32" s="19" t="str">
        <x:v>ACTIVE/RECORDED</x:v>
      </x:c>
      <x:c r="AC32" s="19" t="str">
        <x:v>OPTIPLEX 7000 SSF Desktop (Small Form Factor)( C i7/2.1/8 GB/512 GB/win 11 Pro, 3 Yrs) 12th Generation Intel® Core™ i7-12700 vPro®, 25MB cache, 12 cores, 20 threads, 2.10GHz to 4.90GHz, 65W) Support Win 11 DG/Linux) 8 GB (1X8 GB) DDR4 Non ECC Memory, M.2 2230 512 GB PCle, NVME Class 35 Solid State Drive(EM) USB Keyboard, Mouse, Windows 11 Pro, 19.5" Dell Wide LED Monitor, E2020H DELL</x:v>
      </x:c>
    </x:row>
    <x:row r="33" ht="34" customHeight="1">
      <x:c r="A33" s="19" t="str">
        <x:v>REC0029</x:v>
      </x:c>
      <x:c r="B33" s="19" t="str">
        <x:v>BAT0029</x:v>
      </x:c>
      <x:c r="C33" s="19" t="str">
        <x:v>Computers.pdf</x:v>
      </x:c>
      <x:c r="D33" s="19" t="n">
        <x:v>19</x:v>
      </x:c>
      <x:c r="E33" s="19" t="str">
        <x:v>LAB009</x:v>
      </x:c>
      <x:c r="F33" s="19" t="str">
        <x:v>D-09</x:v>
      </x:c>
      <x:c r="G33" s="19" t="str">
        <x:v>Apple Education Center Laboratory</x:v>
      </x:c>
      <x:c r="H33" s="19" t="str">
        <x:v>001</x:v>
      </x:c>
      <x:c r="I33" s="19" t="str">
        <x:v>CAT01</x:v>
      </x:c>
      <x:c r="J33" s="19" t="str">
        <x:v>Computers</x:v>
      </x:c>
      <x:c r="K33" s="19" t="str">
        <x:v>Dell</x:v>
      </x:c>
      <x:c r="L33" s="19" t="str">
        <x:v>OptiPlex 3020 M</x:v>
      </x:c>
      <x:c r="M33" s="19" t="str">
        <x:v>MOD024</x:v>
      </x:c>
      <x:c r="N33" s="19" t="str">
        <x:v>25 (25)</x:v>
      </x:c>
      <x:c r="O33" s="19" t="n">
        <x:v>25</x:v>
      </x:c>
      <x:c r="P33" s="19" t="n">
        <x:v>25</x:v>
      </x:c>
      <x:c r="Q33" s="19" t="n">
        <x:v>25</x:v>
      </x:c>
      <x:c r="R33" s="19" t="n">
        <x:v>25</x:v>
      </x:c>
      <x:c r="S33" s="26" t="n">
        <x:v>38500</x:v>
      </x:c>
      <x:c r="T33" s="26" t="n">
        <x:v>962500</x:v>
      </x:c>
      <x:c r="U33" s="19" t="str">
        <x:v>SUP005</x:v>
      </x:c>
      <x:c r="V33" s="19" t="str">
        <x:v>Not recorded</x:v>
      </x:c>
      <x:c r="W33" s="19" t="str"/>
      <x:c r="X33" s="28" t="n">
        <x:v>42286</x:v>
      </x:c>
      <x:c r="Y33" s="19" t="str">
        <x:v>SUD10/1516/1201</x:v>
      </x:c>
      <x:c r="Z33" s="19" t="str">
        <x:v>-</x:v>
      </x:c>
      <x:c r="AA33" s="19" t="str">
        <x:v>-</x:v>
      </x:c>
      <x:c r="AB33" s="19" t="str">
        <x:v>ACTIVE/RECORDED</x:v>
      </x:c>
      <x:c r="AC33" s="19" t="str">
        <x:v>Dell Computers: Dell Optiplex 3020 Mini Tower, Intel Core I 5-4590 Processor Quad Core with Mini tower, HD Graphics, 4 GB 1 DiMM Non EDD, 500 GB HDD, DELL wide LED Monitor 18.5", Dell Optical Mouse &amp; USB KeyBoard Ubuntu Linux 12.04 3 Year Onsite Service (VAT @ 5 % included) DELL</x:v>
      </x:c>
    </x:row>
    <x:row r="34" ht="34" customHeight="1">
      <x:c r="A34" s="19" t="str">
        <x:v>REC0030</x:v>
      </x:c>
      <x:c r="B34" s="19" t="str">
        <x:v>BAT0030</x:v>
      </x:c>
      <x:c r="C34" s="19" t="str">
        <x:v>Computers.pdf</x:v>
      </x:c>
      <x:c r="D34" s="19" t="n">
        <x:v>19</x:v>
      </x:c>
      <x:c r="E34" s="19" t="str">
        <x:v>LAB009</x:v>
      </x:c>
      <x:c r="F34" s="19" t="str">
        <x:v>D-09</x:v>
      </x:c>
      <x:c r="G34" s="19" t="str">
        <x:v>Apple Education Center Laboratory</x:v>
      </x:c>
      <x:c r="H34" s="19" t="str">
        <x:v>016</x:v>
      </x:c>
      <x:c r="I34" s="19" t="str">
        <x:v>CAT01</x:v>
      </x:c>
      <x:c r="J34" s="19" t="str">
        <x:v>Computers</x:v>
      </x:c>
      <x:c r="K34" s="19" t="str">
        <x:v>Dell</x:v>
      </x:c>
      <x:c r="L34" s="19" t="str">
        <x:v>OptiPlex 7020 SFF</x:v>
      </x:c>
      <x:c r="M34" s="19" t="str">
        <x:v>MOD025</x:v>
      </x:c>
      <x:c r="N34" s="19" t="str">
        <x:v>35 (35)</x:v>
      </x:c>
      <x:c r="O34" s="19" t="n">
        <x:v>35</x:v>
      </x:c>
      <x:c r="P34" s="19" t="n">
        <x:v>35</x:v>
      </x:c>
      <x:c r="Q34" s="19" t="n">
        <x:v>35</x:v>
      </x:c>
      <x:c r="R34" s="19" t="n">
        <x:v>35</x:v>
      </x:c>
      <x:c r="S34" s="26" t="n">
        <x:v>98063</x:v>
      </x:c>
      <x:c r="T34" s="26" t="n">
        <x:v>3432205</x:v>
      </x:c>
      <x:c r="U34" s="19" t="str">
        <x:v>SUP007</x:v>
      </x:c>
      <x:c r="V34" s="19" t="str">
        <x:v>Veetrag Computers Private Ltd.</x:v>
      </x:c>
      <x:c r="W34" s="19" t="str">
        <x:v>Veetrag Computers Private Ltd. Plot No.7. Parshwanath Nagar, Near Jain Temple, Kupwad MIDC Road,Sangli-416415, Maharashtra, India.CIN-U51909PN20 14PTC152370, GSTIN NO. 27AAECV8865D1ZY</x:v>
      </x:c>
      <x:c r="X34" s="28" t="n">
        <x:v>45742</x:v>
      </x:c>
      <x:c r="Y34" s="19" t="str">
        <x:v>VCPL-2/2425/3897</x:v>
      </x:c>
      <x:c r="Z34" s="19" t="str">
        <x:v>-</x:v>
      </x:c>
      <x:c r="AA34" s="19" t="str">
        <x:v>-</x:v>
      </x:c>
      <x:c r="AB34" s="19" t="str">
        <x:v>ACTIVE/RECORDED</x:v>
      </x:c>
      <x:c r="AC34" s="19" t="str">
        <x:v>Computers: DELL OptiPlex 7020 SFF (Ci7/5.4/16GB/512GB SSD/WIN 11 Proff/21.5"/3Yrs) OptiPlex Tower Plus 7020 ХСТО Intel Core i7 processor 14700 vPro (33 MB cache, 20 cores, 28 threads, up to 5.4 GHz Turbo, 65W) 16 GB: 1 x 16 GB, DDR5 M.2 2280 512GB PCIe NVMe SSD Class 40 Intel Integrated Graphics System Power Cord India 6A Dell Multimedia Wired Keyboard-KB216 Black - US International Dell USB Optical Mouse-MS116 (EPEAT) - Black Dell 22 Monitor - E2225H, OptiPlex Tower Plus with 500W Platinum Power Supply Network Adapters (NIC) Windows 11 Pro, English, Warranty: 3 Years Next Business Day Onsite Service by DELL DELL</x:v>
      </x:c>
    </x:row>
    <x:row r="35" ht="34" customHeight="1">
      <x:c r="A35" s="19" t="str">
        <x:v>REC0031</x:v>
      </x:c>
      <x:c r="B35" s="19" t="str">
        <x:v>BAT0031</x:v>
      </x:c>
      <x:c r="C35" s="19" t="str">
        <x:v>Computers.pdf</x:v>
      </x:c>
      <x:c r="D35" s="19" t="n">
        <x:v>20</x:v>
      </x:c>
      <x:c r="E35" s="19" t="str">
        <x:v>LAB010</x:v>
      </x:c>
      <x:c r="F35" s="19" t="str">
        <x:v>D-10</x:v>
      </x:c>
      <x:c r="G35" s="19" t="str">
        <x:v>PG laboratory-1</x:v>
      </x:c>
      <x:c r="H35" s="19" t="str">
        <x:v>004</x:v>
      </x:c>
      <x:c r="I35" s="19" t="str">
        <x:v>CAT01</x:v>
      </x:c>
      <x:c r="J35" s="19" t="str">
        <x:v>Computers</x:v>
      </x:c>
      <x:c r="K35" s="19" t="str">
        <x:v>Lenovo</x:v>
      </x:c>
      <x:c r="L35" s="19" t="str">
        <x:v>ThinkCentre M920</x:v>
      </x:c>
      <x:c r="M35" s="19" t="str">
        <x:v>MOD026</x:v>
      </x:c>
      <x:c r="N35" s="19" t="str">
        <x:v>20 (20)</x:v>
      </x:c>
      <x:c r="O35" s="19" t="n">
        <x:v>20</x:v>
      </x:c>
      <x:c r="P35" s="19" t="n">
        <x:v>20</x:v>
      </x:c>
      <x:c r="Q35" s="19" t="n">
        <x:v>20</x:v>
      </x:c>
      <x:c r="R35" s="19" t="n">
        <x:v>20</x:v>
      </x:c>
      <x:c r="S35" s="26" t="n">
        <x:v>53000</x:v>
      </x:c>
      <x:c r="T35" s="26" t="n">
        <x:v>1060000</x:v>
      </x:c>
      <x:c r="U35" s="19" t="str">
        <x:v>SUP007</x:v>
      </x:c>
      <x:c r="V35" s="19" t="str">
        <x:v>Veetrag Computers Private Ltd.</x:v>
      </x:c>
      <x:c r="W35" s="19" t="str">
        <x:v>Veetrag Computers Private Ltd. Plot No.7. Parshwanath Nagar, Near Jain Temple, Kupwad MIDC Road,Sangli-416415, Maharashtra, India.CIN-U51909PN20 14PTC152370, GSTIN NO. 27AAECV8865D1ZY</x:v>
      </x:c>
      <x:c r="X35" s="28" t="n">
        <x:v>43984</x:v>
      </x:c>
      <x:c r="Y35" s="19" t="str">
        <x:v>VCPL-2/2021/0210</x:v>
      </x:c>
      <x:c r="Z35" s="19" t="str">
        <x:v>-</x:v>
      </x:c>
      <x:c r="AA35" s="19" t="str">
        <x:v>- Received From RIT/CSE/D-09/03/8</x:v>
      </x:c>
      <x:c r="AB35" s="19" t="str">
        <x:v>TRANSFERRED_IN</x:v>
      </x:c>
      <x:c r="AC35" s="19" t="str">
        <x:v>Computers: Lenovo Think Center M920(Ci7/3.0/4GB/1TB/WIN10Home/3Yrs) Processor Intel Core i7-9700, RAM 4 GB DDR4-2666, 1 TB HDD 7200 rpm, Lenovo Calliope Keyboard (USB Connector), Black Lenovo Mouse, Windows 10 Home 64 Bit, Warranty 3 Years by LED Monitor: 19.5" Lenovo wide Led Monitor E2054A ( GST 18 % Included) Lenovo Think Center M920</x:v>
      </x:c>
    </x:row>
    <x:row r="36" ht="34" customHeight="1">
      <x:c r="A36" s="19" t="str">
        <x:v>REC0032</x:v>
      </x:c>
      <x:c r="B36" s="19" t="str">
        <x:v>BAT0032</x:v>
      </x:c>
      <x:c r="C36" s="19" t="str">
        <x:v>Computers.pdf</x:v>
      </x:c>
      <x:c r="D36" s="19" t="n">
        <x:v>21</x:v>
      </x:c>
      <x:c r="E36" s="19" t="str">
        <x:v>LAB011</x:v>
      </x:c>
      <x:c r="F36" s="19" t="str">
        <x:v>D-11</x:v>
      </x:c>
      <x:c r="G36" s="19" t="str">
        <x:v>PG laboratory-2</x:v>
      </x:c>
      <x:c r="H36" s="19" t="str">
        <x:v>001</x:v>
      </x:c>
      <x:c r="I36" s="19" t="str">
        <x:v>CAT01</x:v>
      </x:c>
      <x:c r="J36" s="19" t="str">
        <x:v>Computers</x:v>
      </x:c>
      <x:c r="K36" s="19" t="str">
        <x:v>Apple</x:v>
      </x:c>
      <x:c r="L36" s="19" t="str">
        <x:v>Mac All-in-One Desktop 21.5"</x:v>
      </x:c>
      <x:c r="M36" s="19" t="str">
        <x:v>MOD027</x:v>
      </x:c>
      <x:c r="N36" s="19" t="str">
        <x:v>22 (22)</x:v>
      </x:c>
      <x:c r="O36" s="19" t="n">
        <x:v>22</x:v>
      </x:c>
      <x:c r="P36" s="19" t="n">
        <x:v>22</x:v>
      </x:c>
      <x:c r="Q36" s="19" t="n">
        <x:v>22</x:v>
      </x:c>
      <x:c r="R36" s="19" t="n">
        <x:v>22</x:v>
      </x:c>
      <x:c r="S36" s="26" t="n">
        <x:v>85000</x:v>
      </x:c>
      <x:c r="T36" s="26" t="n">
        <x:v>1870000</x:v>
      </x:c>
      <x:c r="U36" s="19" t="str">
        <x:v>SUP001</x:v>
      </x:c>
      <x:c r="V36" s="19" t="str">
        <x:v>Aegis Infotech Private Limited</x:v>
      </x:c>
      <x:c r="W36" s="19" t="str">
        <x:v>Aegis Infotech Private Limited 4th Floor, Tulsi Chamber 4/5-2, Old Palasia Greater Kailash Road, Indore-452018 GSTIN/UIN: 23AAFCA9725J1ZK State: MadhyaPradesh Code:23 E-Mail: info@aegisinfotech.co m</x:v>
      </x:c>
      <x:c r="X36" s="28" t="n">
        <x:v>44281</x:v>
      </x:c>
      <x:c r="Y36" s="19" t="str">
        <x:v>PI/1450/20-21</x:v>
      </x:c>
      <x:c r="Z36" s="19" t="str">
        <x:v>-</x:v>
      </x:c>
      <x:c r="AA36" s="19" t="str">
        <x:v>- (GST 18% Included)</x:v>
      </x:c>
      <x:c r="AB36" s="19" t="str">
        <x:v>ACTIVE/RECORDED</x:v>
      </x:c>
      <x:c r="AC36" s="19" t="str">
        <x:v>MAC All in One Desktop: 21.5 INCH 2.3 Ghz Dual Core 7th Generation Intel Core i5 Processor,8 GB RAM,256 GB SSD with Magic UPON Installation Activate 200 GB Cloud Space In Each Device Warranty-1 Year Apple</x:v>
      </x:c>
    </x:row>
    <x:row r="37" ht="34" customHeight="1">
      <x:c r="A37" s="19" t="str">
        <x:v>REC0033</x:v>
      </x:c>
      <x:c r="B37" s="19" t="str">
        <x:v>BAT0033</x:v>
      </x:c>
      <x:c r="C37" s="19" t="str">
        <x:v>Interactive Panel.pdf</x:v>
      </x:c>
      <x:c r="D37" s="19" t="n">
        <x:v>1</x:v>
      </x:c>
      <x:c r="E37" s="19" t="str">
        <x:v>LAB009</x:v>
      </x:c>
      <x:c r="F37" s="19" t="str">
        <x:v>D-09</x:v>
      </x:c>
      <x:c r="G37" s="19" t="str">
        <x:v>Apple Education Center Laboratory</x:v>
      </x:c>
      <x:c r="H37" s="19" t="str">
        <x:v>014</x:v>
      </x:c>
      <x:c r="I37" s="19" t="str">
        <x:v>CAT07</x:v>
      </x:c>
      <x:c r="J37" s="19" t="str">
        <x:v>Interactive Panel</x:v>
      </x:c>
      <x:c r="K37" s="19" t="str">
        <x:v>BenQ</x:v>
      </x:c>
      <x:c r="L37" s="19" t="str">
        <x:v>RE7504 75-inch</x:v>
      </x:c>
      <x:c r="M37" s="19" t="str">
        <x:v>MOD028</x:v>
      </x:c>
      <x:c r="N37" s="19" t="str">
        <x:v>1 (1)</x:v>
      </x:c>
      <x:c r="O37" s="19" t="n">
        <x:v>1</x:v>
      </x:c>
      <x:c r="P37" s="19" t="n">
        <x:v>1</x:v>
      </x:c>
      <x:c r="Q37" s="19" t="n">
        <x:v>1</x:v>
      </x:c>
      <x:c r="R37" s="19" t="n">
        <x:v>1</x:v>
      </x:c>
      <x:c r="S37" s="26" t="n">
        <x:v>122130</x:v>
      </x:c>
      <x:c r="T37" s="26" t="n">
        <x:v>122130</x:v>
      </x:c>
      <x:c r="U37" s="19" t="str">
        <x:v>SUP007</x:v>
      </x:c>
      <x:c r="V37" s="19" t="str">
        <x:v>Veetrag Computers Private Ltd.</x:v>
      </x:c>
      <x:c r="W37" s="19" t="str">
        <x:v>Veetrag Computers Pvt. Ltd. Plot No: 7, Parshwanath Nagar, Near Jain Temple, Kupwad MIDC Road, Sangli 416415</x:v>
      </x:c>
      <x:c r="X37" s="28" t="n">
        <x:v>45742</x:v>
      </x:c>
      <x:c r="Y37" s="19" t="str">
        <x:v>VCPL-2/2425/3888</x:v>
      </x:c>
      <x:c r="Z37" s="19" t="str">
        <x:v>-</x:v>
      </x:c>
      <x:c r="AA37" s="19" t="str">
        <x:v>-</x:v>
      </x:c>
      <x:c r="AB37" s="19" t="str">
        <x:v>ACTIVE/RECORDED</x:v>
      </x:c>
      <x:c r="AC37" s="19" t="str">
        <x:v>BenQ Interactive Flat Panel 75" - RE7504-4k-64GB Hardware Specification: 75"IFP Resolution EDLA Certifies Google Play Store official Google Services Android 13.0, 8GB RAM, 64 GB, Octacore98Core) processor-CPU/GPU-A73X4 +A53X4 G52 MP8/20W*2 Speaker, Type C Port 65 W, Split Screen Option, Memory Card Slot Touch Accuracy1.0 mm, 40 Touch Tech Precision IT Tech with Zero Bonding Technology Warranty- 3 Year NBD on site Services by BenQ Sr. No. Eik8R0016805X (18 % GST Included) BenQ</x:v>
      </x:c>
    </x:row>
    <x:row r="38" ht="34" customHeight="1">
      <x:c r="A38" s="19" t="str">
        <x:v>REC0034</x:v>
      </x:c>
      <x:c r="B38" s="19" t="str">
        <x:v>BAT0034</x:v>
      </x:c>
      <x:c r="C38" s="19" t="str">
        <x:v>Interactive Panel.pdf</x:v>
      </x:c>
      <x:c r="D38" s="19" t="n">
        <x:v>1</x:v>
      </x:c>
      <x:c r="E38" s="19" t="str">
        <x:v>LAB009</x:v>
      </x:c>
      <x:c r="F38" s="19" t="str">
        <x:v>D-09</x:v>
      </x:c>
      <x:c r="G38" s="19" t="str">
        <x:v>Apple Education Center Laboratory</x:v>
      </x:c>
      <x:c r="H38" s="19" t="str">
        <x:v>015</x:v>
      </x:c>
      <x:c r="I38" s="19" t="str">
        <x:v>CAT07</x:v>
      </x:c>
      <x:c r="J38" s="19" t="str">
        <x:v>Interactive Panel</x:v>
      </x:c>
      <x:c r="K38" s="19" t="str"/>
      <x:c r="L38" s="19" t="str">
        <x:v>OPS PC - Core i5 12th Gen</x:v>
      </x:c>
      <x:c r="M38" s="19" t="str">
        <x:v>MOD029</x:v>
      </x:c>
      <x:c r="N38" s="19" t="str">
        <x:v>1 (1)</x:v>
      </x:c>
      <x:c r="O38" s="19" t="n">
        <x:v>1</x:v>
      </x:c>
      <x:c r="P38" s="19" t="n">
        <x:v>1</x:v>
      </x:c>
      <x:c r="Q38" s="19" t="n">
        <x:v>1</x:v>
      </x:c>
      <x:c r="R38" s="19" t="n">
        <x:v>1</x:v>
      </x:c>
      <x:c r="S38" s="26" t="n">
        <x:v>31270</x:v>
      </x:c>
      <x:c r="T38" s="26" t="n">
        <x:v>31270</x:v>
      </x:c>
      <x:c r="U38" s="19" t="str">
        <x:v>SUP007</x:v>
      </x:c>
      <x:c r="V38" s="19" t="str">
        <x:v>Veetrag Computers Private Ltd.</x:v>
      </x:c>
      <x:c r="W38" s="19" t="str">
        <x:v>Veetrag Computers Private Ltd. Plot No.7. Parshwanath Nagar, Near Jain Temple, Kupwad MIDC Road,Sangli-416415, Maharashtra, India.CIN-U51909PN20 14PTC152370, GSTIN NO. 27AAECV8865D1ZY</x:v>
      </x:c>
      <x:c r="X38" s="28" t="n">
        <x:v>45742</x:v>
      </x:c>
      <x:c r="Y38" s="19" t="str">
        <x:v>VCPL-2/2425/3888</x:v>
      </x:c>
      <x:c r="Z38" s="19" t="str">
        <x:v>-</x:v>
      </x:c>
      <x:c r="AA38" s="19" t="str">
        <x:v>-</x:v>
      </x:c>
      <x:c r="AB38" s="19" t="str">
        <x:v>ACTIVE/RECORDED</x:v>
      </x:c>
      <x:c r="AC38" s="19" t="str">
        <x:v>(Ci5/12th Generation /8GB/512GB SSD/WIN 11/3Yrs) Intel Core Ci5, 12Th Generation Processor no, Ram: 8GB Storage: 512GB SSD OS: WIN 11 Professional Warranty: 3 Years Sr.No: P20241213180 (18 % GST Included)</x:v>
      </x:c>
    </x:row>
    <x:row r="39" ht="34" customHeight="1">
      <x:c r="A39" s="19" t="str">
        <x:v>REC0035</x:v>
      </x:c>
      <x:c r="B39" s="19" t="str">
        <x:v>BAT0035</x:v>
      </x:c>
      <x:c r="C39" s="19" t="str">
        <x:v>Laptop.pdf</x:v>
      </x:c>
      <x:c r="D39" s="19" t="n">
        <x:v>1</x:v>
      </x:c>
      <x:c r="E39" s="19" t="str">
        <x:v>LAB001</x:v>
      </x:c>
      <x:c r="F39" s="19" t="str">
        <x:v>D-01</x:v>
      </x:c>
      <x:c r="G39" s="19" t="str">
        <x:v>Linux Laboratory</x:v>
      </x:c>
      <x:c r="H39" s="19" t="str">
        <x:v>035</x:v>
      </x:c>
      <x:c r="I39" s="19" t="str">
        <x:v>CAT02</x:v>
      </x:c>
      <x:c r="J39" s="19" t="str">
        <x:v>Laptop</x:v>
      </x:c>
      <x:c r="K39" s="19" t="str">
        <x:v>Dell</x:v>
      </x:c>
      <x:c r="L39" s="19" t="str">
        <x:v>Vostro</x:v>
      </x:c>
      <x:c r="M39" s="19" t="str">
        <x:v>MOD030</x:v>
      </x:c>
      <x:c r="N39" s="19" t="str">
        <x:v>1 (1)</x:v>
      </x:c>
      <x:c r="O39" s="19" t="n">
        <x:v>1</x:v>
      </x:c>
      <x:c r="P39" s="19" t="n">
        <x:v>1</x:v>
      </x:c>
      <x:c r="Q39" s="19" t="n">
        <x:v>1</x:v>
      </x:c>
      <x:c r="R39" s="19" t="n">
        <x:v>1</x:v>
      </x:c>
      <x:c r="S39" s="26"/>
      <x:c r="T39" s="26"/>
      <x:c r="U39" s="19" t="str">
        <x:v>SUP007</x:v>
      </x:c>
      <x:c r="V39" s="19" t="str">
        <x:v>Veetrag Computers Private Ltd.</x:v>
      </x:c>
      <x:c r="W39" s="19" t="str">
        <x:v>Veetrag Computers, Shree Hanuman Pani Purvatha Building, A/P- Vdhagaon, Tal- Shirol, Dist- Kolhapur Pin- 416137</x:v>
      </x:c>
      <x:c r="X39" s="28"/>
      <x:c r="Y39" s="19" t="str"/>
      <x:c r="Z39" s="19" t="str">
        <x:v>-</x:v>
      </x:c>
      <x:c r="AA39" s="19" t="str">
        <x:v>-</x:v>
      </x:c>
      <x:c r="AB39" s="19" t="str">
        <x:v>ACTIVE/RECORDED</x:v>
      </x:c>
      <x:c r="AC39" s="19" t="str">
        <x:v>LAPTOP: DELL VOSTRO Dell</x:v>
      </x:c>
    </x:row>
    <x:row r="40" ht="34" customHeight="1">
      <x:c r="A40" s="19" t="str">
        <x:v>REC0036</x:v>
      </x:c>
      <x:c r="B40" s="19" t="str">
        <x:v>BAT0036</x:v>
      </x:c>
      <x:c r="C40" s="19" t="str">
        <x:v>Laptop.pdf</x:v>
      </x:c>
      <x:c r="D40" s="19" t="n">
        <x:v>2</x:v>
      </x:c>
      <x:c r="E40" s="19" t="str">
        <x:v>LAB002</x:v>
      </x:c>
      <x:c r="F40" s="19" t="str">
        <x:v>D-02</x:v>
      </x:c>
      <x:c r="G40" s="19" t="str">
        <x:v>Database Laboratory</x:v>
      </x:c>
      <x:c r="H40" s="19" t="str">
        <x:v>022</x:v>
      </x:c>
      <x:c r="I40" s="19" t="str">
        <x:v>CAT02</x:v>
      </x:c>
      <x:c r="J40" s="19" t="str">
        <x:v>Laptop</x:v>
      </x:c>
      <x:c r="K40" s="19" t="str">
        <x:v>Dell</x:v>
      </x:c>
      <x:c r="L40" s="19" t="str">
        <x:v>Vostro 3400</x:v>
      </x:c>
      <x:c r="M40" s="19" t="str">
        <x:v>MOD031</x:v>
      </x:c>
      <x:c r="N40" s="19" t="str">
        <x:v>1 (1)</x:v>
      </x:c>
      <x:c r="O40" s="19" t="n">
        <x:v>1</x:v>
      </x:c>
      <x:c r="P40" s="19" t="n">
        <x:v>1</x:v>
      </x:c>
      <x:c r="Q40" s="19" t="n">
        <x:v>1</x:v>
      </x:c>
      <x:c r="R40" s="19" t="n">
        <x:v>1</x:v>
      </x:c>
      <x:c r="S40" s="26" t="n">
        <x:v>36750</x:v>
      </x:c>
      <x:c r="T40" s="26" t="n">
        <x:v>36750</x:v>
      </x:c>
      <x:c r="U40" s="19" t="str">
        <x:v>SUP007</x:v>
      </x:c>
      <x:c r="V40" s="19" t="str">
        <x:v>Veetrag Computers Private Ltd.</x:v>
      </x:c>
      <x:c r="W40" s="19" t="str">
        <x:v>Veetrag Computers, Shree Hanuman Pani Purvatha Building, A/P- Vdhagaon, Tal- Shirol, Dist- Kolhapur Pin- 416136</x:v>
      </x:c>
      <x:c r="X40" s="28" t="n">
        <x:v>40423</x:v>
      </x:c>
      <x:c r="Y40" s="19" t="str">
        <x:v>SUD09/0910/0238</x:v>
      </x:c>
      <x:c r="Z40" s="19" t="str">
        <x:v>-</x:v>
      </x:c>
      <x:c r="AA40" s="19" t="str">
        <x:v>-</x:v>
      </x:c>
      <x:c r="AB40" s="19" t="str">
        <x:v>ACTIVE/RECORDED</x:v>
      </x:c>
      <x:c r="AC40" s="19" t="str">
        <x:v>Laptop, Dell Vostro 3400 Laptop, (CI3/2.4/2GB/320/DRW/3 Year), CORE I3 370 (2.4 GHz, Dual Core 4T 3 MB L3 C Dell</x:v>
      </x:c>
    </x:row>
    <x:row r="41" ht="34" customHeight="1">
      <x:c r="A41" s="19" t="str">
        <x:v>REC0037</x:v>
      </x:c>
      <x:c r="B41" s="19" t="str">
        <x:v>BAT0037</x:v>
      </x:c>
      <x:c r="C41" s="19" t="str">
        <x:v>Laptop.pdf</x:v>
      </x:c>
      <x:c r="D41" s="19" t="n">
        <x:v>3</x:v>
      </x:c>
      <x:c r="E41" s="19" t="str">
        <x:v>LAB004</x:v>
      </x:c>
      <x:c r="F41" s="19" t="str">
        <x:v>D-04</x:v>
      </x:c>
      <x:c r="G41" s="19" t="str">
        <x:v>Application Development Tool Laboratory</x:v>
      </x:c>
      <x:c r="H41" s="19" t="str">
        <x:v>023</x:v>
      </x:c>
      <x:c r="I41" s="19" t="str">
        <x:v>CAT02</x:v>
      </x:c>
      <x:c r="J41" s="19" t="str">
        <x:v>Laptop</x:v>
      </x:c>
      <x:c r="K41" s="19" t="str">
        <x:v>Dell</x:v>
      </x:c>
      <x:c r="L41" s="19" t="str">
        <x:v>Vostro</x:v>
      </x:c>
      <x:c r="M41" s="19" t="str">
        <x:v>MOD030</x:v>
      </x:c>
      <x:c r="N41" s="19" t="str">
        <x:v>1 (1)</x:v>
      </x:c>
      <x:c r="O41" s="19" t="n">
        <x:v>1</x:v>
      </x:c>
      <x:c r="P41" s="19" t="n">
        <x:v>1</x:v>
      </x:c>
      <x:c r="Q41" s="19" t="n">
        <x:v>1</x:v>
      </x:c>
      <x:c r="R41" s="19" t="n">
        <x:v>1</x:v>
      </x:c>
      <x:c r="S41" s="26"/>
      <x:c r="T41" s="26"/>
      <x:c r="U41" s="19" t="str">
        <x:v>SUP005</x:v>
      </x:c>
      <x:c r="V41" s="19" t="str">
        <x:v>Not recorded</x:v>
      </x:c>
      <x:c r="W41" s="19" t="str"/>
      <x:c r="X41" s="28"/>
      <x:c r="Y41" s="19" t="str">
        <x:v>Bill not processed</x:v>
      </x:c>
      <x:c r="Z41" s="19" t="str">
        <x:v>-</x:v>
      </x:c>
      <x:c r="AA41" s="19" t="str">
        <x:v>-</x:v>
      </x:c>
      <x:c r="AB41" s="19" t="str">
        <x:v>ACTIVE/RECORDED</x:v>
      </x:c>
      <x:c r="AC41" s="19" t="str">
        <x:v>Laptop: DELL Vostro Dell</x:v>
      </x:c>
    </x:row>
    <x:row r="42" ht="34" customHeight="1">
      <x:c r="A42" s="19" t="str">
        <x:v>REC0038</x:v>
      </x:c>
      <x:c r="B42" s="19" t="str">
        <x:v>BAT0038</x:v>
      </x:c>
      <x:c r="C42" s="19" t="str">
        <x:v>Laptop.pdf</x:v>
      </x:c>
      <x:c r="D42" s="19" t="n">
        <x:v>4</x:v>
      </x:c>
      <x:c r="E42" s="19" t="str">
        <x:v>LAB005</x:v>
      </x:c>
      <x:c r="F42" s="19" t="str">
        <x:v>D-05</x:v>
      </x:c>
      <x:c r="G42" s="19" t="str">
        <x:v>Operating System Laboratory</x:v>
      </x:c>
      <x:c r="H42" s="19" t="str">
        <x:v>017</x:v>
      </x:c>
      <x:c r="I42" s="19" t="str">
        <x:v>CAT02</x:v>
      </x:c>
      <x:c r="J42" s="19" t="str">
        <x:v>Laptop</x:v>
      </x:c>
      <x:c r="K42" s="19" t="str">
        <x:v>Toshiba</x:v>
      </x:c>
      <x:c r="L42" s="19" t="str">
        <x:v>Portage</x:v>
      </x:c>
      <x:c r="M42" s="19" t="str">
        <x:v>MOD032</x:v>
      </x:c>
      <x:c r="N42" s="19" t="str">
        <x:v>1 (1)</x:v>
      </x:c>
      <x:c r="O42" s="19" t="n">
        <x:v>1</x:v>
      </x:c>
      <x:c r="P42" s="19" t="n">
        <x:v>1</x:v>
      </x:c>
      <x:c r="Q42" s="19" t="n">
        <x:v>1</x:v>
      </x:c>
      <x:c r="R42" s="19" t="n">
        <x:v>1</x:v>
      </x:c>
      <x:c r="S42" s="26"/>
      <x:c r="T42" s="26"/>
      <x:c r="U42" s="19" t="str">
        <x:v>SUP005</x:v>
      </x:c>
      <x:c r="V42" s="19" t="str">
        <x:v>Not recorded</x:v>
      </x:c>
      <x:c r="W42" s="19" t="str"/>
      <x:c r="X42" s="28" t="n">
        <x:v>40226</x:v>
      </x:c>
      <x:c r="Y42" s="19" t="str"/>
      <x:c r="Z42" s="19" t="str">
        <x:v>-</x:v>
      </x:c>
      <x:c r="AA42" s="19" t="str">
        <x:v>- Gifted from Infosys Campus Connect</x:v>
      </x:c>
      <x:c r="AB42" s="19" t="str">
        <x:v>ACTIVE/RECORDED</x:v>
      </x:c>
      <x:c r="AC42" s="19" t="str">
        <x:v>Laptop: Infosys campus connect laptop Sr. no. 76141829 Toshiba Portage (free of cost) Toshiba</x:v>
      </x:c>
    </x:row>
    <x:row r="43" ht="34" customHeight="1">
      <x:c r="A43" s="19" t="str">
        <x:v>REC0039</x:v>
      </x:c>
      <x:c r="B43" s="19" t="str">
        <x:v>BAT0039</x:v>
      </x:c>
      <x:c r="C43" s="19" t="str">
        <x:v>Laptop.pdf</x:v>
      </x:c>
      <x:c r="D43" s="19" t="n">
        <x:v>5</x:v>
      </x:c>
      <x:c r="E43" s="19" t="str">
        <x:v>LAB008</x:v>
      </x:c>
      <x:c r="F43" s="19" t="str">
        <x:v>D-08</x:v>
      </x:c>
      <x:c r="G43" s="19" t="str">
        <x:v>Artificial Intelligence &amp; Machine Learning Laboratory</x:v>
      </x:c>
      <x:c r="H43" s="19" t="str">
        <x:v>011</x:v>
      </x:c>
      <x:c r="I43" s="19" t="str">
        <x:v>CAT02</x:v>
      </x:c>
      <x:c r="J43" s="19" t="str">
        <x:v>Laptop</x:v>
      </x:c>
      <x:c r="K43" s="19" t="str">
        <x:v>HP</x:v>
      </x:c>
      <x:c r="L43" s="19" t="str">
        <x:v>Envy 15 K 203 TX</x:v>
      </x:c>
      <x:c r="M43" s="19" t="str">
        <x:v>MOD033</x:v>
      </x:c>
      <x:c r="N43" s="19" t="str">
        <x:v>1 (1)</x:v>
      </x:c>
      <x:c r="O43" s="19" t="n">
        <x:v>1</x:v>
      </x:c>
      <x:c r="P43" s="19" t="n">
        <x:v>1</x:v>
      </x:c>
      <x:c r="Q43" s="19" t="n">
        <x:v>1</x:v>
      </x:c>
      <x:c r="R43" s="19" t="n">
        <x:v>1</x:v>
      </x:c>
      <x:c r="S43" s="26" t="n">
        <x:v>76650</x:v>
      </x:c>
      <x:c r="T43" s="26" t="n">
        <x:v>76650</x:v>
      </x:c>
      <x:c r="U43" s="19" t="str">
        <x:v>SUP004</x:v>
      </x:c>
      <x:c r="V43" s="19" t="str">
        <x:v>InfoSystem</x:v>
      </x:c>
      <x:c r="W43" s="19" t="str">
        <x:v>InfoSystem, Regd. Office 2678 " A SMRUTI, Yallama Chowk, Islampur</x:v>
      </x:c>
      <x:c r="X43" s="28" t="n">
        <x:v>42082</x:v>
      </x:c>
      <x:c r="Y43" s="19" t="str">
        <x:v>2623</x:v>
      </x:c>
      <x:c r="Z43" s="19" t="str">
        <x:v>-</x:v>
      </x:c>
      <x:c r="AA43" s="19" t="str">
        <x:v>-</x:v>
      </x:c>
      <x:c r="AB43" s="19" t="str">
        <x:v>ACTIVE/RECORDED</x:v>
      </x:c>
      <x:c r="AC43" s="19" t="str">
        <x:v>Laptop HP Envy 15 K 203 TX Sr. No. 5CD4485C75 with Bag Pack ( Include Output VAT @ 5 %) HP Envy</x:v>
      </x:c>
    </x:row>
    <x:row r="44" ht="34" customHeight="1">
      <x:c r="A44" s="19" t="str">
        <x:v>REC0040</x:v>
      </x:c>
      <x:c r="B44" s="19" t="str">
        <x:v>BAT0040</x:v>
      </x:c>
      <x:c r="C44" s="19" t="str">
        <x:v>Laptop.pdf</x:v>
      </x:c>
      <x:c r="D44" s="19" t="n">
        <x:v>5</x:v>
      </x:c>
      <x:c r="E44" s="19" t="str">
        <x:v>LAB008</x:v>
      </x:c>
      <x:c r="F44" s="19" t="str">
        <x:v>D-08</x:v>
      </x:c>
      <x:c r="G44" s="19" t="str">
        <x:v>Artificial Intelligence &amp; Machine Learning Laboratory</x:v>
      </x:c>
      <x:c r="H44" s="19" t="str">
        <x:v>012</x:v>
      </x:c>
      <x:c r="I44" s="19" t="str">
        <x:v>CAT02</x:v>
      </x:c>
      <x:c r="J44" s="19" t="str">
        <x:v>Laptop</x:v>
      </x:c>
      <x:c r="K44" s="19" t="str">
        <x:v>HP</x:v>
      </x:c>
      <x:c r="L44" s="19" t="str">
        <x:v>Envy 15 K 203 TX</x:v>
      </x:c>
      <x:c r="M44" s="19" t="str">
        <x:v>MOD033</x:v>
      </x:c>
      <x:c r="N44" s="19" t="str">
        <x:v>1 (1)</x:v>
      </x:c>
      <x:c r="O44" s="19" t="n">
        <x:v>1</x:v>
      </x:c>
      <x:c r="P44" s="19" t="n">
        <x:v>1</x:v>
      </x:c>
      <x:c r="Q44" s="19" t="n">
        <x:v>1</x:v>
      </x:c>
      <x:c r="R44" s="19" t="n">
        <x:v>1</x:v>
      </x:c>
      <x:c r="S44" s="26" t="n">
        <x:v>76650</x:v>
      </x:c>
      <x:c r="T44" s="26" t="n">
        <x:v>76650</x:v>
      </x:c>
      <x:c r="U44" s="19" t="str">
        <x:v>SUP004</x:v>
      </x:c>
      <x:c r="V44" s="19" t="str">
        <x:v>InfoSystem</x:v>
      </x:c>
      <x:c r="W44" s="19" t="str">
        <x:v>InfoSystem, Regd. Office 2678 " A SMRUTI, Yallama Chowk, Islampur</x:v>
      </x:c>
      <x:c r="X44" s="28" t="n">
        <x:v>42082</x:v>
      </x:c>
      <x:c r="Y44" s="19" t="str">
        <x:v>2624</x:v>
      </x:c>
      <x:c r="Z44" s="19" t="str">
        <x:v>-</x:v>
      </x:c>
      <x:c r="AA44" s="19" t="str">
        <x:v>-</x:v>
      </x:c>
      <x:c r="AB44" s="19" t="str">
        <x:v>ACTIVE/RECORDED</x:v>
      </x:c>
      <x:c r="AC44" s="19" t="str">
        <x:v>Laptop HP Envy 15 K 203 TX Sr. No. 5CD4485C76 with Bag Pack ( Include Output VAT @ 5 %) Laptop HP Envy</x:v>
      </x:c>
    </x:row>
    <x:row r="45" ht="34" customHeight="1">
      <x:c r="A45" s="19" t="str">
        <x:v>REC0041</x:v>
      </x:c>
      <x:c r="B45" s="19" t="str">
        <x:v>BAT0041</x:v>
      </x:c>
      <x:c r="C45" s="19" t="str">
        <x:v>LCD Projector.pdf</x:v>
      </x:c>
      <x:c r="D45" s="19" t="n">
        <x:v>1</x:v>
      </x:c>
      <x:c r="E45" s="19" t="str">
        <x:v>LAB001</x:v>
      </x:c>
      <x:c r="F45" s="19" t="str">
        <x:v>D-01</x:v>
      </x:c>
      <x:c r="G45" s="19" t="str">
        <x:v>Linux Laboratory</x:v>
      </x:c>
      <x:c r="H45" s="19" t="str">
        <x:v>040</x:v>
      </x:c>
      <x:c r="I45" s="19" t="str">
        <x:v>CAT06</x:v>
      </x:c>
      <x:c r="J45" s="19" t="str">
        <x:v>LCD Projector</x:v>
      </x:c>
      <x:c r="K45" s="19" t="str">
        <x:v>Samsung</x:v>
      </x:c>
      <x:c r="L45" s="19" t="str">
        <x:v>Flip 65 2.0 LH65WMRWBGCXXL</x:v>
      </x:c>
      <x:c r="M45" s="19" t="str">
        <x:v>MOD034</x:v>
      </x:c>
      <x:c r="N45" s="19" t="str">
        <x:v>1 (1)</x:v>
      </x:c>
      <x:c r="O45" s="19" t="n">
        <x:v>1</x:v>
      </x:c>
      <x:c r="P45" s="19" t="n">
        <x:v>1</x:v>
      </x:c>
      <x:c r="Q45" s="19" t="n">
        <x:v>1</x:v>
      </x:c>
      <x:c r="R45" s="19" t="n">
        <x:v>1</x:v>
      </x:c>
      <x:c r="S45" s="26" t="n">
        <x:v>118060</x:v>
      </x:c>
      <x:c r="T45" s="26" t="n">
        <x:v>118060</x:v>
      </x:c>
      <x:c r="U45" s="19" t="str">
        <x:v>SUP002</x:v>
      </x:c>
      <x:c r="V45" s="19" t="str">
        <x:v>Hitachi System Micro Clinic Pvt. Ltd.</x:v>
      </x:c>
      <x:c r="W45" s="19" t="str">
        <x:v>Hitachi System Micro Clinic Pvt. Ltd,C/O AMPM Logistics Pvt. Ltd, Gala No. 1 to 5 Building F" Globe Complex, Owali Village, Bhiwandi 421302</x:v>
      </x:c>
      <x:c r="X45" s="28" t="n">
        <x:v>43826</x:v>
      </x:c>
      <x:c r="Y45" s="19" t="str">
        <x:v>27T19201901322</x:v>
      </x:c>
      <x:c r="Z45" s="19" t="str">
        <x:v>-</x:v>
      </x:c>
      <x:c r="AA45" s="19" t="str">
        <x:v>-</x:v>
      </x:c>
      <x:c r="AB45" s="19" t="str">
        <x:v>ACTIVE/RECORDED</x:v>
      </x:c>
      <x:c r="AC45" s="19" t="str">
        <x:v>Digital Board: Samsung LH65WMRWBGCXXL Flip 65"2.0 with 3 Year warranty Intractive Digital Board Including Fixing and setting uo the equipment wall mounting with at the institute, Configuring all the software associated with IT and D Link 10 Mtr Patch cord cable Samsung</x:v>
      </x:c>
    </x:row>
    <x:row r="46" ht="34" customHeight="1">
      <x:c r="A46" s="19" t="str">
        <x:v>REC0042</x:v>
      </x:c>
      <x:c r="B46" s="19" t="str">
        <x:v>BAT0042</x:v>
      </x:c>
      <x:c r="C46" s="19" t="str">
        <x:v>LCD Projector.pdf</x:v>
      </x:c>
      <x:c r="D46" s="19" t="n">
        <x:v>2</x:v>
      </x:c>
      <x:c r="E46" s="19" t="str">
        <x:v>LAB002</x:v>
      </x:c>
      <x:c r="F46" s="19" t="str">
        <x:v>D-02</x:v>
      </x:c>
      <x:c r="G46" s="19" t="str">
        <x:v>Database Laboratory</x:v>
      </x:c>
      <x:c r="H46" s="19" t="str">
        <x:v>036</x:v>
      </x:c>
      <x:c r="I46" s="19" t="str">
        <x:v>CAT06</x:v>
      </x:c>
      <x:c r="J46" s="19" t="str">
        <x:v>LCD Projector</x:v>
      </x:c>
      <x:c r="K46" s="19" t="str">
        <x:v>Epson</x:v>
      </x:c>
      <x:c r="L46" s="19" t="str">
        <x:v>EB-E01 V11H971056</x:v>
      </x:c>
      <x:c r="M46" s="19" t="str">
        <x:v>MOD035</x:v>
      </x:c>
      <x:c r="N46" s="19" t="str">
        <x:v>1 (1)</x:v>
      </x:c>
      <x:c r="O46" s="19" t="n">
        <x:v>1</x:v>
      </x:c>
      <x:c r="P46" s="19" t="n">
        <x:v>1</x:v>
      </x:c>
      <x:c r="Q46" s="19" t="n">
        <x:v>1</x:v>
      </x:c>
      <x:c r="R46" s="19" t="n">
        <x:v>1</x:v>
      </x:c>
      <x:c r="S46" s="26" t="n">
        <x:v>32500</x:v>
      </x:c>
      <x:c r="T46" s="26" t="n">
        <x:v>32500</x:v>
      </x:c>
      <x:c r="U46" s="19" t="str">
        <x:v>SUP007</x:v>
      </x:c>
      <x:c r="V46" s="19" t="str">
        <x:v>Veetrag Computers Private Ltd.</x:v>
      </x:c>
      <x:c r="W46" s="19" t="str">
        <x:v>Veetrag Computers Private Ltd. Plot No.7. Parshwanath Nagar, Near Jain Temple, Kupwad MIDC Road,Sangli-416415, Maharashtra, India.CIN-U51909PN20 14PTC152370, GSTIN NO. 27AAECV8865D1ZY</x:v>
      </x:c>
      <x:c r="X46" s="28" t="n">
        <x:v>44581</x:v>
      </x:c>
      <x:c r="Y46" s="19" t="str">
        <x:v>VCPL-2/2122/2703</x:v>
      </x:c>
      <x:c r="Z46" s="19" t="str">
        <x:v>-</x:v>
      </x:c>
      <x:c r="AA46" s="19" t="str">
        <x:v>-</x:v>
      </x:c>
      <x:c r="AB46" s="19" t="str">
        <x:v>ACTIVE/RECORDED</x:v>
      </x:c>
      <x:c r="AC46" s="19" t="str">
        <x:v>Projector: Epson EB-E01 -V11H971056 3 LCD Technology and 3,300 Lumens Warranty 24 Months for projector and 12 Month or 1,000 hours for lamp Sr. No.X88Z1900870 ( GST28% Included) Epson</x:v>
      </x:c>
    </x:row>
    <x:row r="47" ht="34" customHeight="1">
      <x:c r="A47" s="19" t="str">
        <x:v>REC0043</x:v>
      </x:c>
      <x:c r="B47" s="19" t="str">
        <x:v>BAT0043</x:v>
      </x:c>
      <x:c r="C47" s="19" t="str">
        <x:v>LCD Projector.pdf</x:v>
      </x:c>
      <x:c r="D47" s="19" t="n">
        <x:v>2</x:v>
      </x:c>
      <x:c r="E47" s="19" t="str">
        <x:v>LAB002</x:v>
      </x:c>
      <x:c r="F47" s="19" t="str">
        <x:v>D-02</x:v>
      </x:c>
      <x:c r="G47" s="19" t="str">
        <x:v>Database Laboratory</x:v>
      </x:c>
      <x:c r="H47" s="19" t="str">
        <x:v>038</x:v>
      </x:c>
      <x:c r="I47" s="19" t="str">
        <x:v>CAT06</x:v>
      </x:c>
      <x:c r="J47" s="19" t="str">
        <x:v>LCD Projector</x:v>
      </x:c>
      <x:c r="K47" s="19" t="str">
        <x:v>Epson</x:v>
      </x:c>
      <x:c r="L47" s="19" t="str">
        <x:v>EB-E01 V11H971056</x:v>
      </x:c>
      <x:c r="M47" s="19" t="str">
        <x:v>MOD035</x:v>
      </x:c>
      <x:c r="N47" s="19" t="str">
        <x:v>1 (1)</x:v>
      </x:c>
      <x:c r="O47" s="19" t="n">
        <x:v>1</x:v>
      </x:c>
      <x:c r="P47" s="19" t="n">
        <x:v>1</x:v>
      </x:c>
      <x:c r="Q47" s="19" t="n">
        <x:v>1</x:v>
      </x:c>
      <x:c r="R47" s="19" t="n">
        <x:v>1</x:v>
      </x:c>
      <x:c r="S47" s="26" t="n">
        <x:v>32499</x:v>
      </x:c>
      <x:c r="T47" s="26" t="n">
        <x:v>32499</x:v>
      </x:c>
      <x:c r="U47" s="19" t="str">
        <x:v>SUP007</x:v>
      </x:c>
      <x:c r="V47" s="19" t="str">
        <x:v>Veetrag Computers Private Ltd.</x:v>
      </x:c>
      <x:c r="W47" s="19" t="str">
        <x:v>Veetrag Computers Private Ltd. Plot No.7. Parshwanath Nagar, Near Jain Temple, Kupwad MIDC Road,Sangli-416415, Maharashtra, India.CIN-U51909PN20 14PTC152370, GSTIN NO. 27AAECV8865D1ZY</x:v>
      </x:c>
      <x:c r="X47" s="28" t="n">
        <x:v>44893</x:v>
      </x:c>
      <x:c r="Y47" s="19" t="str">
        <x:v>VCPL-2/2223/2339</x:v>
      </x:c>
      <x:c r="Z47" s="19" t="str">
        <x:v>-</x:v>
      </x:c>
      <x:c r="AA47" s="19" t="str">
        <x:v>-</x:v>
      </x:c>
      <x:c r="AB47" s="19" t="str">
        <x:v>ACTIVE/RECORDED</x:v>
      </x:c>
      <x:c r="AC47" s="19" t="str">
        <x:v>Epson EB-E01 -V11H971056 3 LCD Technology and 3,300 Lumens Warranty 24 Months for projector and 12 Month or 1,000 hours for lamp Sr. No.X88Z1900870 ( GST28% Included) Epson</x:v>
      </x:c>
    </x:row>
    <x:row r="48" ht="34" customHeight="1">
      <x:c r="A48" s="19" t="str">
        <x:v>REC0044</x:v>
      </x:c>
      <x:c r="B48" s="19" t="str">
        <x:v>BAT0044</x:v>
      </x:c>
      <x:c r="C48" s="19" t="str">
        <x:v>LCD Projector.pdf</x:v>
      </x:c>
      <x:c r="D48" s="19" t="n">
        <x:v>3</x:v>
      </x:c>
      <x:c r="E48" s="19" t="str">
        <x:v>LAB003</x:v>
      </x:c>
      <x:c r="F48" s="19" t="str">
        <x:v>D-03</x:v>
      </x:c>
      <x:c r="G48" s="19" t="str">
        <x:v>Project Laboratory</x:v>
      </x:c>
      <x:c r="H48" s="19" t="str">
        <x:v>038</x:v>
      </x:c>
      <x:c r="I48" s="19" t="str">
        <x:v>CAT06</x:v>
      </x:c>
      <x:c r="J48" s="19" t="str">
        <x:v>LCD Projector</x:v>
      </x:c>
      <x:c r="K48" s="19" t="str">
        <x:v>Epson</x:v>
      </x:c>
      <x:c r="L48" s="19" t="str">
        <x:v>EB-X03</x:v>
      </x:c>
      <x:c r="M48" s="19" t="str">
        <x:v>MOD036</x:v>
      </x:c>
      <x:c r="N48" s="19" t="str">
        <x:v>1 (1)</x:v>
      </x:c>
      <x:c r="O48" s="19" t="n">
        <x:v>1</x:v>
      </x:c>
      <x:c r="P48" s="19" t="n">
        <x:v>1</x:v>
      </x:c>
      <x:c r="Q48" s="19" t="n">
        <x:v>1</x:v>
      </x:c>
      <x:c r="R48" s="19" t="n">
        <x:v>1</x:v>
      </x:c>
      <x:c r="S48" s="26" t="n">
        <x:v>30800</x:v>
      </x:c>
      <x:c r="T48" s="26" t="n">
        <x:v>30800</x:v>
      </x:c>
      <x:c r="U48" s="19" t="str">
        <x:v>SUP007</x:v>
      </x:c>
      <x:c r="V48" s="19" t="str">
        <x:v>Veetrag Computers Private Ltd.</x:v>
      </x:c>
      <x:c r="W48" s="19" t="str">
        <x:v>Veetrag Computers, Shree Hanuman Pani Purvatha, Bldg, A/P-Udgaon, Tal-Shirol, Dist-Kolhapur-416134</x:v>
      </x:c>
      <x:c r="X48" s="28" t="n">
        <x:v>41944</x:v>
      </x:c>
      <x:c r="Y48" s="19" t="str">
        <x:v>SUD11/1415/0897</x:v>
      </x:c>
      <x:c r="Z48" s="19" t="str">
        <x:v>-</x:v>
      </x:c>
      <x:c r="AA48" s="19" t="str">
        <x:v>-</x:v>
      </x:c>
      <x:c r="AB48" s="19" t="str">
        <x:v>ACTIVE/RECORDED</x:v>
      </x:c>
      <x:c r="AC48" s="19" t="str">
        <x:v>Projector : Projector Epson EB X03 2 Years Warranty for projector 1 Year or 1000 Hours Warranty for Bulb ( 12.50 % VAT) Epson</x:v>
      </x:c>
    </x:row>
    <x:row r="49" ht="34" customHeight="1">
      <x:c r="A49" s="19" t="str">
        <x:v>REC0045</x:v>
      </x:c>
      <x:c r="B49" s="19" t="str">
        <x:v>BAT0045</x:v>
      </x:c>
      <x:c r="C49" s="19" t="str">
        <x:v>LCD Projector.pdf</x:v>
      </x:c>
      <x:c r="D49" s="19" t="n">
        <x:v>3</x:v>
      </x:c>
      <x:c r="E49" s="19" t="str">
        <x:v>LAB003</x:v>
      </x:c>
      <x:c r="F49" s="19" t="str">
        <x:v>D-03</x:v>
      </x:c>
      <x:c r="G49" s="19" t="str">
        <x:v>Project Laboratory</x:v>
      </x:c>
      <x:c r="H49" s="19" t="str">
        <x:v>051</x:v>
      </x:c>
      <x:c r="I49" s="19" t="str">
        <x:v>CAT06</x:v>
      </x:c>
      <x:c r="J49" s="19" t="str">
        <x:v>LCD Projector</x:v>
      </x:c>
      <x:c r="K49" s="19" t="str">
        <x:v>Epson</x:v>
      </x:c>
      <x:c r="L49" s="19" t="str">
        <x:v>EB-E01 V11H971056</x:v>
      </x:c>
      <x:c r="M49" s="19" t="str">
        <x:v>MOD035</x:v>
      </x:c>
      <x:c r="N49" s="19" t="str">
        <x:v>1 (1)</x:v>
      </x:c>
      <x:c r="O49" s="19" t="n">
        <x:v>1</x:v>
      </x:c>
      <x:c r="P49" s="19" t="n">
        <x:v>1</x:v>
      </x:c>
      <x:c r="Q49" s="19" t="n">
        <x:v>1</x:v>
      </x:c>
      <x:c r="R49" s="19" t="n">
        <x:v>1</x:v>
      </x:c>
      <x:c r="S49" s="26" t="n">
        <x:v>32499</x:v>
      </x:c>
      <x:c r="T49" s="26" t="n">
        <x:v>32499</x:v>
      </x:c>
      <x:c r="U49" s="19" t="str">
        <x:v>SUP007</x:v>
      </x:c>
      <x:c r="V49" s="19" t="str">
        <x:v>Veetrag Computers Private Ltd.</x:v>
      </x:c>
      <x:c r="W49" s="19" t="str">
        <x:v>vEETRAG COMPUTERS SANGLI</x:v>
      </x:c>
      <x:c r="X49" s="28" t="n">
        <x:v>44893</x:v>
      </x:c>
      <x:c r="Y49" s="19" t="str">
        <x:v>VCPL-2/2223/2339</x:v>
      </x:c>
      <x:c r="Z49" s="19" t="str">
        <x:v>-</x:v>
      </x:c>
      <x:c r="AA49" s="19" t="str">
        <x:v>-</x:v>
      </x:c>
      <x:c r="AB49" s="19" t="str">
        <x:v>ACTIVE/RECORDED</x:v>
      </x:c>
      <x:c r="AC49" s="19" t="str">
        <x:v>Epson EB-E01 -V11H971056 3 LCD Technology and 3,300 Lumens Warranty 24 Months for projector and 12 Month or 1,000 hours for lamp Sr. No.X88Z1900870 ( GST28% Included) ePSON</x:v>
      </x:c>
    </x:row>
    <x:row r="50" ht="34" customHeight="1">
      <x:c r="A50" s="19" t="str">
        <x:v>REC0046</x:v>
      </x:c>
      <x:c r="B50" s="19" t="str">
        <x:v>BAT0046</x:v>
      </x:c>
      <x:c r="C50" s="19" t="str">
        <x:v>LCD Projector.pdf</x:v>
      </x:c>
      <x:c r="D50" s="19" t="n">
        <x:v>4</x:v>
      </x:c>
      <x:c r="E50" s="19" t="str">
        <x:v>LAB004</x:v>
      </x:c>
      <x:c r="F50" s="19" t="str">
        <x:v>D-04</x:v>
      </x:c>
      <x:c r="G50" s="19" t="str">
        <x:v>Application Development Tool Laboratory</x:v>
      </x:c>
      <x:c r="H50" s="19" t="str">
        <x:v>022</x:v>
      </x:c>
      <x:c r="I50" s="19" t="str">
        <x:v>CAT06</x:v>
      </x:c>
      <x:c r="J50" s="19" t="str">
        <x:v>LCD Projector</x:v>
      </x:c>
      <x:c r="K50" s="19" t="str">
        <x:v>Epson</x:v>
      </x:c>
      <x:c r="L50" s="19" t="str">
        <x:v>EB-X12</x:v>
      </x:c>
      <x:c r="M50" s="19" t="str">
        <x:v>MOD037</x:v>
      </x:c>
      <x:c r="N50" s="19" t="str">
        <x:v>1 (1)</x:v>
      </x:c>
      <x:c r="O50" s="19" t="n">
        <x:v>1</x:v>
      </x:c>
      <x:c r="P50" s="19" t="n">
        <x:v>1</x:v>
      </x:c>
      <x:c r="Q50" s="19" t="n">
        <x:v>1</x:v>
      </x:c>
      <x:c r="R50" s="19" t="n">
        <x:v>1</x:v>
      </x:c>
      <x:c r="S50" s="26" t="n">
        <x:v>32600</x:v>
      </x:c>
      <x:c r="T50" s="26" t="n">
        <x:v>32600</x:v>
      </x:c>
      <x:c r="U50" s="19" t="str">
        <x:v>SUP007</x:v>
      </x:c>
      <x:c r="V50" s="19" t="str">
        <x:v>Veetrag Computers Private Ltd.</x:v>
      </x:c>
      <x:c r="W50" s="19" t="str">
        <x:v>Veetrag Computers, Shree Hanuman Pani Puravatha, Bldg a/p Udgaon, Tal - shirol Dist - Kolhapur Ph - 0233-2670885,267079 8</x:v>
      </x:c>
      <x:c r="X50" s="28" t="n">
        <x:v>41304</x:v>
      </x:c>
      <x:c r="Y50" s="19" t="str">
        <x:v>SUD01/1213/789</x:v>
      </x:c>
      <x:c r="Z50" s="19" t="str">
        <x:v>-</x:v>
      </x:c>
      <x:c r="AA50" s="19" t="str">
        <x:v>-</x:v>
      </x:c>
      <x:c r="AB50" s="19" t="str">
        <x:v>ACTIVE/RECORDED</x:v>
      </x:c>
      <x:c r="AC50" s="19" t="str">
        <x:v>Projector: EPSON EB X12 Sr. No. 2 Year Warranty for projector, 1 Year or 500 Hours Warranty for Bulb whichever is earlier. Out put VAT 12.5 % Epson EBX12</x:v>
      </x:c>
    </x:row>
    <x:row r="51" ht="34" customHeight="1">
      <x:c r="A51" s="19" t="str">
        <x:v>REC0047</x:v>
      </x:c>
      <x:c r="B51" s="19" t="str">
        <x:v>BAT0047</x:v>
      </x:c>
      <x:c r="C51" s="19" t="str">
        <x:v>LCD Projector.pdf</x:v>
      </x:c>
      <x:c r="D51" s="19" t="n">
        <x:v>4</x:v>
      </x:c>
      <x:c r="E51" s="19" t="str">
        <x:v>LAB004</x:v>
      </x:c>
      <x:c r="F51" s="19" t="str">
        <x:v>D-04</x:v>
      </x:c>
      <x:c r="G51" s="19" t="str">
        <x:v>Application Development Tool Laboratory</x:v>
      </x:c>
      <x:c r="H51" s="19" t="str">
        <x:v>024</x:v>
      </x:c>
      <x:c r="I51" s="19" t="str">
        <x:v>CAT06</x:v>
      </x:c>
      <x:c r="J51" s="19" t="str">
        <x:v>LCD Projector</x:v>
      </x:c>
      <x:c r="K51" s="19" t="str">
        <x:v>Epson</x:v>
      </x:c>
      <x:c r="L51" s="19" t="str">
        <x:v>EB-X03</x:v>
      </x:c>
      <x:c r="M51" s="19" t="str">
        <x:v>MOD036</x:v>
      </x:c>
      <x:c r="N51" s="19" t="str">
        <x:v>1 (1)</x:v>
      </x:c>
      <x:c r="O51" s="19" t="n">
        <x:v>1</x:v>
      </x:c>
      <x:c r="P51" s="19" t="n">
        <x:v>1</x:v>
      </x:c>
      <x:c r="Q51" s="19" t="n">
        <x:v>1</x:v>
      </x:c>
      <x:c r="R51" s="19" t="n">
        <x:v>1</x:v>
      </x:c>
      <x:c r="S51" s="26" t="n">
        <x:v>30800</x:v>
      </x:c>
      <x:c r="T51" s="26" t="n">
        <x:v>30800</x:v>
      </x:c>
      <x:c r="U51" s="19" t="str">
        <x:v>SUP007</x:v>
      </x:c>
      <x:c r="V51" s="19" t="str">
        <x:v>Veetrag Computers Private Ltd.</x:v>
      </x:c>
      <x:c r="W51" s="19" t="str">
        <x:v>Veetrag Computers, Shree Hanuman Pani Purvatha, Bldg, A/P-Udgaon, Tal-Shirol, Dist-Kolhapur-416134</x:v>
      </x:c>
      <x:c r="X51" s="28" t="n">
        <x:v>41944</x:v>
      </x:c>
      <x:c r="Y51" s="19" t="str">
        <x:v>SUD11/1415/0897</x:v>
      </x:c>
      <x:c r="Z51" s="19" t="str">
        <x:v>-</x:v>
      </x:c>
      <x:c r="AA51" s="19" t="str">
        <x:v>-</x:v>
      </x:c>
      <x:c r="AB51" s="19" t="str">
        <x:v>ACTIVE/RECORDED</x:v>
      </x:c>
      <x:c r="AC51" s="19" t="str">
        <x:v>Projector Epson EB X03 2 Years Warranty for projector 1 Year or 1000 Hours Warranty for Bulb ( 12.50 % VAT) Epson EBX03</x:v>
      </x:c>
    </x:row>
    <x:row r="52" ht="34" customHeight="1">
      <x:c r="A52" s="19" t="str">
        <x:v>REC0048</x:v>
      </x:c>
      <x:c r="B52" s="19" t="str">
        <x:v>BAT0048</x:v>
      </x:c>
      <x:c r="C52" s="19" t="str">
        <x:v>LCD Projector.pdf</x:v>
      </x:c>
      <x:c r="D52" s="19" t="n">
        <x:v>4</x:v>
      </x:c>
      <x:c r="E52" s="19" t="str">
        <x:v>LAB004</x:v>
      </x:c>
      <x:c r="F52" s="19" t="str">
        <x:v>D-04</x:v>
      </x:c>
      <x:c r="G52" s="19" t="str">
        <x:v>Application Development Tool Laboratory</x:v>
      </x:c>
      <x:c r="H52" s="19" t="str">
        <x:v>031</x:v>
      </x:c>
      <x:c r="I52" s="19" t="str">
        <x:v>CAT06</x:v>
      </x:c>
      <x:c r="J52" s="19" t="str">
        <x:v>LCD Projector</x:v>
      </x:c>
      <x:c r="K52" s="19" t="str">
        <x:v>Epson</x:v>
      </x:c>
      <x:c r="L52" s="19" t="str">
        <x:v>EB-X05 V11H839056</x:v>
      </x:c>
      <x:c r="M52" s="19" t="str">
        <x:v>MOD038</x:v>
      </x:c>
      <x:c r="N52" s="19" t="str">
        <x:v>1 (1)</x:v>
      </x:c>
      <x:c r="O52" s="19" t="n">
        <x:v>1</x:v>
      </x:c>
      <x:c r="P52" s="19" t="n">
        <x:v>1</x:v>
      </x:c>
      <x:c r="Q52" s="19" t="n">
        <x:v>1</x:v>
      </x:c>
      <x:c r="R52" s="19" t="n">
        <x:v>1</x:v>
      </x:c>
      <x:c r="S52" s="26" t="n">
        <x:v>33500</x:v>
      </x:c>
      <x:c r="T52" s="26" t="n">
        <x:v>33500</x:v>
      </x:c>
      <x:c r="U52" s="19" t="str">
        <x:v>SUP007</x:v>
      </x:c>
      <x:c r="V52" s="19" t="str">
        <x:v>Veetrag Computers Private Ltd.</x:v>
      </x:c>
      <x:c r="W52" s="19" t="str">
        <x:v>Veetrag Computers Private Ltd. Plot No.7. Parshwanath Nagar, Near Jain Temple, Kupwad MIDC Road,Sangli-416415, Maharashtra, India.CIN-U51909PN20 14PTC152370, GSTIN NO. 27AAECV8865D1ZY</x:v>
      </x:c>
      <x:c r="X52" s="28" t="n">
        <x:v>43888</x:v>
      </x:c>
      <x:c r="Y52" s="19" t="str">
        <x:v>VCPL-2/1920/4342</x:v>
      </x:c>
      <x:c r="Z52" s="19" t="str">
        <x:v>-</x:v>
      </x:c>
      <x:c r="AA52" s="19" t="str">
        <x:v>-</x:v>
      </x:c>
      <x:c r="AB52" s="19" t="str">
        <x:v>ACTIVE/RECORDED</x:v>
      </x:c>
      <x:c r="AC52" s="19" t="str">
        <x:v>Projector: Epson EB-X05-V11H839056 Warranty: 2 Years onsite Service for Projector &amp; 1 year Or 1000 Hours- Whichever Comes First, By EPSON( GST Included 28 %) EPSON</x:v>
      </x:c>
    </x:row>
    <x:row r="53" ht="34" customHeight="1">
      <x:c r="A53" s="19" t="str">
        <x:v>REC0049</x:v>
      </x:c>
      <x:c r="B53" s="19" t="str">
        <x:v>BAT0049</x:v>
      </x:c>
      <x:c r="C53" s="19" t="str">
        <x:v>LCD Projector.pdf</x:v>
      </x:c>
      <x:c r="D53" s="19" t="n">
        <x:v>5</x:v>
      </x:c>
      <x:c r="E53" s="19" t="str">
        <x:v>LAB005</x:v>
      </x:c>
      <x:c r="F53" s="19" t="str">
        <x:v>D-05</x:v>
      </x:c>
      <x:c r="G53" s="19" t="str">
        <x:v>Operating System Laboratory</x:v>
      </x:c>
      <x:c r="H53" s="19" t="str">
        <x:v>023</x:v>
      </x:c>
      <x:c r="I53" s="19" t="str">
        <x:v>CAT06</x:v>
      </x:c>
      <x:c r="J53" s="19" t="str">
        <x:v>LCD Projector</x:v>
      </x:c>
      <x:c r="K53" s="19" t="str">
        <x:v>Epson</x:v>
      </x:c>
      <x:c r="L53" s="19" t="str">
        <x:v>EB-X12</x:v>
      </x:c>
      <x:c r="M53" s="19" t="str">
        <x:v>MOD037</x:v>
      </x:c>
      <x:c r="N53" s="19" t="str">
        <x:v>1 (1)</x:v>
      </x:c>
      <x:c r="O53" s="19" t="n">
        <x:v>1</x:v>
      </x:c>
      <x:c r="P53" s="19" t="n">
        <x:v>1</x:v>
      </x:c>
      <x:c r="Q53" s="19" t="n">
        <x:v>1</x:v>
      </x:c>
      <x:c r="R53" s="19" t="n">
        <x:v>1</x:v>
      </x:c>
      <x:c r="S53" s="26" t="n">
        <x:v>32600</x:v>
      </x:c>
      <x:c r="T53" s="26" t="n">
        <x:v>32600</x:v>
      </x:c>
      <x:c r="U53" s="19" t="str">
        <x:v>SUP007</x:v>
      </x:c>
      <x:c r="V53" s="19" t="str">
        <x:v>Veetrag Computers Private Ltd.</x:v>
      </x:c>
      <x:c r="W53" s="19" t="str">
        <x:v>Veetrag Computers, Shree Hanuman Pani Puravatha, Bldg a/p Udgaon, Tal - shirol Dist - Kolhapur Ph - 0233-2670885,267079 8</x:v>
      </x:c>
      <x:c r="X53" s="28" t="n">
        <x:v>41304</x:v>
      </x:c>
      <x:c r="Y53" s="19" t="str">
        <x:v>SUD01/1213/789</x:v>
      </x:c>
      <x:c r="Z53" s="19" t="str">
        <x:v>-</x:v>
      </x:c>
      <x:c r="AA53" s="19" t="str">
        <x:v>-</x:v>
      </x:c>
      <x:c r="AB53" s="19" t="str">
        <x:v>ACTIVE/RECORDED</x:v>
      </x:c>
      <x:c r="AC53" s="19" t="str">
        <x:v>EPSON EB X12 Sr. No. 2 Year Warranty for projector, 1 Year or 500 Hours Warranty for Bulb whichever is earlier. (Including Out put VAT @12.5 %) Epson</x:v>
      </x:c>
    </x:row>
    <x:row r="54" ht="34" customHeight="1">
      <x:c r="A54" s="19" t="str">
        <x:v>REC0050</x:v>
      </x:c>
      <x:c r="B54" s="19" t="str">
        <x:v>BAT0050</x:v>
      </x:c>
      <x:c r="C54" s="19" t="str">
        <x:v>LCD Projector.pdf</x:v>
      </x:c>
      <x:c r="D54" s="19" t="n">
        <x:v>6</x:v>
      </x:c>
      <x:c r="E54" s="19" t="str">
        <x:v>LAB006</x:v>
      </x:c>
      <x:c r="F54" s="19" t="str">
        <x:v>D-06</x:v>
      </x:c>
      <x:c r="G54" s="19" t="str">
        <x:v>Web Development Tool Lab</x:v>
      </x:c>
      <x:c r="H54" s="19" t="str">
        <x:v>039</x:v>
      </x:c>
      <x:c r="I54" s="19" t="str">
        <x:v>CAT06</x:v>
      </x:c>
      <x:c r="J54" s="19" t="str">
        <x:v>LCD Projector</x:v>
      </x:c>
      <x:c r="K54" s="19" t="str">
        <x:v>Epson</x:v>
      </x:c>
      <x:c r="L54" s="19" t="str">
        <x:v>EB-E01 V11H971056</x:v>
      </x:c>
      <x:c r="M54" s="19" t="str">
        <x:v>MOD035</x:v>
      </x:c>
      <x:c r="N54" s="19" t="str">
        <x:v>1 (1)</x:v>
      </x:c>
      <x:c r="O54" s="19" t="n">
        <x:v>1</x:v>
      </x:c>
      <x:c r="P54" s="19" t="n">
        <x:v>1</x:v>
      </x:c>
      <x:c r="Q54" s="19" t="n">
        <x:v>1</x:v>
      </x:c>
      <x:c r="R54" s="19" t="n">
        <x:v>1</x:v>
      </x:c>
      <x:c r="S54" s="26" t="n">
        <x:v>32500</x:v>
      </x:c>
      <x:c r="T54" s="26" t="n">
        <x:v>32500</x:v>
      </x:c>
      <x:c r="U54" s="19" t="str">
        <x:v>SUP007</x:v>
      </x:c>
      <x:c r="V54" s="19" t="str">
        <x:v>Veetrag Computers Private Ltd.</x:v>
      </x:c>
      <x:c r="W54" s="19" t="str">
        <x:v>Veetrag Computers Private Ltd. Plot No.7. Parshwanath Nagar, Near Jain Temple, Kupwad MIDC Road,Sangli-416415, Maharashtra, India.CIN-U51909PN20 14PTC152370, GSTIN NO. 27AAECV8865D1ZY</x:v>
      </x:c>
      <x:c r="X54" s="28" t="n">
        <x:v>44581</x:v>
      </x:c>
      <x:c r="Y54" s="19" t="str">
        <x:v>VCPL-2/2122/2703</x:v>
      </x:c>
      <x:c r="Z54" s="19" t="str">
        <x:v>-</x:v>
      </x:c>
      <x:c r="AA54" s="19" t="str">
        <x:v>-</x:v>
      </x:c>
      <x:c r="AB54" s="19" t="str">
        <x:v>ACTIVE/RECORDED</x:v>
      </x:c>
      <x:c r="AC54" s="19" t="str">
        <x:v>Projector: Epson EB-E01 -V11H971056 3 LCD Technology and 3,300 Lumens Warranty 24 Months for projector and 12 Month or 1,000 hours for lamp Sr. No.( GST28% Included)</x:v>
      </x:c>
    </x:row>
    <x:row r="55" ht="34" customHeight="1">
      <x:c r="A55" s="19" t="str">
        <x:v>REC0051</x:v>
      </x:c>
      <x:c r="B55" s="19" t="str">
        <x:v>BAT0051</x:v>
      </x:c>
      <x:c r="C55" s="19" t="str">
        <x:v>LCD Projector.pdf</x:v>
      </x:c>
      <x:c r="D55" s="19" t="n">
        <x:v>7</x:v>
      </x:c>
      <x:c r="E55" s="19" t="str">
        <x:v>LAB007</x:v>
      </x:c>
      <x:c r="F55" s="19" t="str">
        <x:v>D-07</x:v>
      </x:c>
      <x:c r="G55" s="19" t="str">
        <x:v>Network Laboratory</x:v>
      </x:c>
      <x:c r="H55" s="19" t="str">
        <x:v>002</x:v>
      </x:c>
      <x:c r="I55" s="19" t="str">
        <x:v>CAT06</x:v>
      </x:c>
      <x:c r="J55" s="19" t="str">
        <x:v>LCD Projector</x:v>
      </x:c>
      <x:c r="K55" s="19" t="str">
        <x:v>Epson</x:v>
      </x:c>
      <x:c r="L55" s="19" t="str">
        <x:v>EB-X10</x:v>
      </x:c>
      <x:c r="M55" s="19" t="str">
        <x:v>MOD039</x:v>
      </x:c>
      <x:c r="N55" s="19" t="str">
        <x:v>1 (1)</x:v>
      </x:c>
      <x:c r="O55" s="19" t="n">
        <x:v>1</x:v>
      </x:c>
      <x:c r="P55" s="19" t="n">
        <x:v>1</x:v>
      </x:c>
      <x:c r="Q55" s="19" t="n">
        <x:v>1</x:v>
      </x:c>
      <x:c r="R55" s="19" t="n">
        <x:v>1</x:v>
      </x:c>
      <x:c r="S55" s="26" t="n">
        <x:v>33187</x:v>
      </x:c>
      <x:c r="T55" s="26" t="n">
        <x:v>33187</x:v>
      </x:c>
      <x:c r="U55" s="19" t="str">
        <x:v>SUP007</x:v>
      </x:c>
      <x:c r="V55" s="19" t="str">
        <x:v>Veetrag Computers Private Ltd.</x:v>
      </x:c>
      <x:c r="W55" s="19" t="str">
        <x:v>"""Veetrag Computers, Shree Hanuman Pani Purvatha Building, A/P- udgaon, Tal- Shirol, Dist- Kolhapur Pin- 416134"""</x:v>
      </x:c>
      <x:c r="X55" s="28" t="n">
        <x:v>40927</x:v>
      </x:c>
      <x:c r="Y55" s="19" t="str">
        <x:v>SUD01/1112/0771</x:v>
      </x:c>
      <x:c r="Z55" s="19" t="str">
        <x:v>-</x:v>
      </x:c>
      <x:c r="AA55" s="19" t="str">
        <x:v>- ok</x:v>
      </x:c>
      <x:c r="AB55" s="19" t="str">
        <x:v>OK</x:v>
      </x:c>
      <x:c r="AC55" s="19" t="str">
        <x:v>Epson EB X 10, 2 Year Warranty for Projector, 1 Year Warranty for Bulb Out put VAT 12.5 % Included) EPSON</x:v>
      </x:c>
    </x:row>
    <x:row r="56" ht="34" customHeight="1">
      <x:c r="A56" s="19" t="str">
        <x:v>REC0052</x:v>
      </x:c>
      <x:c r="B56" s="19" t="str">
        <x:v>BAT0052</x:v>
      </x:c>
      <x:c r="C56" s="19" t="str">
        <x:v>LCD Projector.pdf</x:v>
      </x:c>
      <x:c r="D56" s="19" t="n">
        <x:v>8</x:v>
      </x:c>
      <x:c r="E56" s="19" t="str">
        <x:v>LAB008</x:v>
      </x:c>
      <x:c r="F56" s="19" t="str">
        <x:v>D-08</x:v>
      </x:c>
      <x:c r="G56" s="19" t="str">
        <x:v>Artificial Intelligence &amp; Machine Learning Laboratory</x:v>
      </x:c>
      <x:c r="H56" s="19" t="str">
        <x:v>023</x:v>
      </x:c>
      <x:c r="I56" s="19" t="str">
        <x:v>CAT06</x:v>
      </x:c>
      <x:c r="J56" s="19" t="str">
        <x:v>LCD Projector</x:v>
      </x:c>
      <x:c r="K56" s="19" t="str">
        <x:v>Epson</x:v>
      </x:c>
      <x:c r="L56" s="19" t="str">
        <x:v>EB-E01 V11H971056</x:v>
      </x:c>
      <x:c r="M56" s="19" t="str">
        <x:v>MOD035</x:v>
      </x:c>
      <x:c r="N56" s="19" t="str">
        <x:v>1 (1)</x:v>
      </x:c>
      <x:c r="O56" s="19" t="n">
        <x:v>1</x:v>
      </x:c>
      <x:c r="P56" s="19" t="n">
        <x:v>1</x:v>
      </x:c>
      <x:c r="Q56" s="19" t="n">
        <x:v>1</x:v>
      </x:c>
      <x:c r="R56" s="19" t="n">
        <x:v>1</x:v>
      </x:c>
      <x:c r="S56" s="26" t="n">
        <x:v>31853</x:v>
      </x:c>
      <x:c r="T56" s="26" t="n">
        <x:v>31853</x:v>
      </x:c>
      <x:c r="U56" s="19" t="str">
        <x:v>SUP007</x:v>
      </x:c>
      <x:c r="V56" s="19" t="str">
        <x:v>Veetrag Computers Private Ltd.</x:v>
      </x:c>
      <x:c r="W56" s="19" t="str">
        <x:v>Veetrag Computers Private Ltd. Plot No.7. Parshwanath Nagar, Near Jain Temple, Kupwad MIDC Road,Sangli-416415, Maharashtra, India.CIN-U51909PN20 14PTC152370, GSTIN NO. 27AAECV8865D1ZY</x:v>
      </x:c>
      <x:c r="X56" s="28" t="n">
        <x:v>45309</x:v>
      </x:c>
      <x:c r="Y56" s="19" t="str">
        <x:v>VCPL-2/2324/2993</x:v>
      </x:c>
      <x:c r="Z56" s="19" t="str">
        <x:v>-</x:v>
      </x:c>
      <x:c r="AA56" s="19" t="str">
        <x:v>-</x:v>
      </x:c>
      <x:c r="AB56" s="19" t="str">
        <x:v>ACTIVE/RECORDED</x:v>
      </x:c>
      <x:c r="AC56" s="19" t="str">
        <x:v>Epson EB-E01 V11H971056 3LCD Technology and 3300 lumens Warranty 36 months for Projector and 12 Months or 1000 hours for Lamp, Sr. No. X88z3x07010 (GST 28% Included) Epson</x:v>
      </x:c>
    </x:row>
    <x:row r="57" ht="34" customHeight="1">
      <x:c r="A57" s="19" t="str">
        <x:v>REC0053</x:v>
      </x:c>
      <x:c r="B57" s="19" t="str">
        <x:v>BAT0053</x:v>
      </x:c>
      <x:c r="C57" s="19" t="str">
        <x:v>LCD Projector.pdf</x:v>
      </x:c>
      <x:c r="D57" s="19" t="n">
        <x:v>9</x:v>
      </x:c>
      <x:c r="E57" s="19" t="str">
        <x:v>LAB011</x:v>
      </x:c>
      <x:c r="F57" s="19" t="str">
        <x:v>D-11</x:v>
      </x:c>
      <x:c r="G57" s="19" t="str">
        <x:v>PG laboratory-2</x:v>
      </x:c>
      <x:c r="H57" s="19" t="str">
        <x:v>002</x:v>
      </x:c>
      <x:c r="I57" s="19" t="str">
        <x:v>CAT06</x:v>
      </x:c>
      <x:c r="J57" s="19" t="str">
        <x:v>LCD Projector</x:v>
      </x:c>
      <x:c r="K57" s="19" t="str">
        <x:v>Epson</x:v>
      </x:c>
      <x:c r="L57" s="19" t="str">
        <x:v>EB-E01 V11H971056</x:v>
      </x:c>
      <x:c r="M57" s="19" t="str">
        <x:v>MOD035</x:v>
      </x:c>
      <x:c r="N57" s="19" t="str">
        <x:v>1 (1)</x:v>
      </x:c>
      <x:c r="O57" s="19" t="n">
        <x:v>1</x:v>
      </x:c>
      <x:c r="P57" s="19" t="n">
        <x:v>1</x:v>
      </x:c>
      <x:c r="Q57" s="19" t="n">
        <x:v>1</x:v>
      </x:c>
      <x:c r="R57" s="19" t="n">
        <x:v>1</x:v>
      </x:c>
      <x:c r="S57" s="26" t="n">
        <x:v>32500</x:v>
      </x:c>
      <x:c r="T57" s="26" t="n">
        <x:v>32500</x:v>
      </x:c>
      <x:c r="U57" s="19" t="str">
        <x:v>SUP007</x:v>
      </x:c>
      <x:c r="V57" s="19" t="str">
        <x:v>Veetrag Computers Private Ltd.</x:v>
      </x:c>
      <x:c r="W57" s="19" t="str">
        <x:v>Veetrag Computer Pvt Ltd Sanglil</x:v>
      </x:c>
      <x:c r="X57" s="28" t="n">
        <x:v>44583</x:v>
      </x:c>
      <x:c r="Y57" s="19" t="str">
        <x:v>VCPL/2/2122/2703</x:v>
      </x:c>
      <x:c r="Z57" s="19" t="str">
        <x:v>-</x:v>
      </x:c>
      <x:c r="AA57" s="19" t="str">
        <x:v>-</x:v>
      </x:c>
      <x:c r="AB57" s="19" t="str">
        <x:v>ACTIVE/RECORDED</x:v>
      </x:c>
      <x:c r="AC57" s="19" t="str">
        <x:v>Projector Epson EB-E01-V11H971056 3LCD Technology and 3300 lumens warranry 24month for projector and 12 months or 1000 hours for lamp Sr X88Z1900870X88Z1Y00227X88Z1Y00050 EPSON</x:v>
      </x:c>
    </x:row>
    <x:row r="58" ht="34" customHeight="1">
      <x:c r="A58" s="19" t="str">
        <x:v>REC0054</x:v>
      </x:c>
      <x:c r="B58" s="19" t="str">
        <x:v>BAT0054</x:v>
      </x:c>
      <x:c r="C58" s="19" t="str">
        <x:v>Printer.pdf</x:v>
      </x:c>
      <x:c r="D58" s="19" t="n">
        <x:v>1</x:v>
      </x:c>
      <x:c r="E58" s="19" t="str">
        <x:v>LAB002</x:v>
      </x:c>
      <x:c r="F58" s="19" t="str">
        <x:v>D-02</x:v>
      </x:c>
      <x:c r="G58" s="19" t="str">
        <x:v>Database Laboratory</x:v>
      </x:c>
      <x:c r="H58" s="19" t="str">
        <x:v>021</x:v>
      </x:c>
      <x:c r="I58" s="19" t="str">
        <x:v>CAT03</x:v>
      </x:c>
      <x:c r="J58" s="19" t="str">
        <x:v>Printer</x:v>
      </x:c>
      <x:c r="K58" s="19" t="str">
        <x:v>HP</x:v>
      </x:c>
      <x:c r="L58" s="19" t="str">
        <x:v>Laserjet MFP 1136</x:v>
      </x:c>
      <x:c r="M58" s="19" t="str">
        <x:v>MOD040</x:v>
      </x:c>
      <x:c r="N58" s="19" t="str">
        <x:v>1 (1)</x:v>
      </x:c>
      <x:c r="O58" s="19" t="n">
        <x:v>1</x:v>
      </x:c>
      <x:c r="P58" s="19" t="n">
        <x:v>1</x:v>
      </x:c>
      <x:c r="Q58" s="19" t="n">
        <x:v>1</x:v>
      </x:c>
      <x:c r="R58" s="19" t="n">
        <x:v>1</x:v>
      </x:c>
      <x:c r="S58" s="26" t="n">
        <x:v>10100</x:v>
      </x:c>
      <x:c r="T58" s="26" t="n">
        <x:v>10100</x:v>
      </x:c>
      <x:c r="U58" s="19" t="str">
        <x:v>SUP007</x:v>
      </x:c>
      <x:c r="V58" s="19" t="str">
        <x:v>Veetrag Computers Private Ltd.</x:v>
      </x:c>
      <x:c r="W58" s="19" t="str">
        <x:v>Veetrag Computers, Shree Hanuman Pani Purvatha Building, A/P- Vdhagaon, Tal- Shirol, Dist- Kolhapur Pin- 416136</x:v>
      </x:c>
      <x:c r="X58" s="28" t="n">
        <x:v>40423</x:v>
      </x:c>
      <x:c r="Y58" s="19" t="str">
        <x:v>SUD09/0910/0238</x:v>
      </x:c>
      <x:c r="Z58" s="19" t="str">
        <x:v>-</x:v>
      </x:c>
      <x:c r="AA58" s="19" t="str">
        <x:v>-</x:v>
      </x:c>
      <x:c r="AB58" s="19" t="str">
        <x:v>ACTIVE/RECORDED</x:v>
      </x:c>
      <x:c r="AC58" s="19" t="str">
        <x:v>HP Laserjet MFP 1136, Print Scan Copy, Upto 15 ppm 1200 DPI Resolution Effective Output, 32 MB RAM, 230 Mhz Processor, 150 sheet paper Tray Input, 1 Year Warranty, Sr. No. CNC 9B6XKG5 HP</x:v>
      </x:c>
    </x:row>
    <x:row r="59" ht="34" customHeight="1">
      <x:c r="A59" s="19" t="str">
        <x:v>REC0055</x:v>
      </x:c>
      <x:c r="B59" s="19" t="str">
        <x:v>BAT0055</x:v>
      </x:c>
      <x:c r="C59" s="19" t="str">
        <x:v>Printer.pdf</x:v>
      </x:c>
      <x:c r="D59" s="19" t="n">
        <x:v>2</x:v>
      </x:c>
      <x:c r="E59" s="19" t="str">
        <x:v>LAB003</x:v>
      </x:c>
      <x:c r="F59" s="19" t="str">
        <x:v>D-03</x:v>
      </x:c>
      <x:c r="G59" s="19" t="str">
        <x:v>Project Laboratory</x:v>
      </x:c>
      <x:c r="H59" s="19" t="str">
        <x:v>019</x:v>
      </x:c>
      <x:c r="I59" s="19" t="str">
        <x:v>CAT03</x:v>
      </x:c>
      <x:c r="J59" s="19" t="str">
        <x:v>Printer</x:v>
      </x:c>
      <x:c r="K59" s="19" t="str">
        <x:v>HP</x:v>
      </x:c>
      <x:c r="L59" s="19" t="str">
        <x:v>LJ 3020</x:v>
      </x:c>
      <x:c r="M59" s="19" t="str">
        <x:v>MOD041</x:v>
      </x:c>
      <x:c r="N59" s="19" t="str">
        <x:v>1 (1)</x:v>
      </x:c>
      <x:c r="O59" s="19" t="n">
        <x:v>1</x:v>
      </x:c>
      <x:c r="P59" s="19" t="n">
        <x:v>1</x:v>
      </x:c>
      <x:c r="Q59" s="19" t="n">
        <x:v>1</x:v>
      </x:c>
      <x:c r="R59" s="19" t="n">
        <x:v>1</x:v>
      </x:c>
      <x:c r="S59" s="26" t="n">
        <x:v>20192</x:v>
      </x:c>
      <x:c r="T59" s="26" t="n">
        <x:v>20192</x:v>
      </x:c>
      <x:c r="U59" s="19" t="str">
        <x:v>SUP007</x:v>
      </x:c>
      <x:c r="V59" s="19" t="str">
        <x:v>Veetrag Computers Private Ltd.</x:v>
      </x:c>
      <x:c r="W59" s="19" t="str">
        <x:v>Veetrag Computers, Shree Hanuman Pani Purvatha Building, A/P- Vdhagaon, Tal- Shirol, Dist- Kolhapur Pin- 416135</x:v>
      </x:c>
      <x:c r="X59" s="28" t="n">
        <x:v>38588</x:v>
      </x:c>
      <x:c r="Y59" s="19" t="str">
        <x:v>Aug-110</x:v>
      </x:c>
      <x:c r="Z59" s="19" t="str">
        <x:v>-</x:v>
      </x:c>
      <x:c r="AA59" s="19" t="str">
        <x:v>-</x:v>
      </x:c>
      <x:c r="AB59" s="19" t="str">
        <x:v>ACTIVE/RECORDED</x:v>
      </x:c>
      <x:c r="AC59" s="19" t="str">
        <x:v>Printer, HP LJ 3020 (Sr. No. SGBSX88075) HP</x:v>
      </x:c>
    </x:row>
    <x:row r="60" ht="34" customHeight="1">
      <x:c r="A60" s="19" t="str">
        <x:v>REC0056</x:v>
      </x:c>
      <x:c r="B60" s="19" t="str">
        <x:v>BAT0056</x:v>
      </x:c>
      <x:c r="C60" s="19" t="str">
        <x:v>Printer.pdf</x:v>
      </x:c>
      <x:c r="D60" s="19" t="n">
        <x:v>2</x:v>
      </x:c>
      <x:c r="E60" s="19" t="str">
        <x:v>LAB003</x:v>
      </x:c>
      <x:c r="F60" s="19" t="str">
        <x:v>D-03</x:v>
      </x:c>
      <x:c r="G60" s="19" t="str">
        <x:v>Project Laboratory</x:v>
      </x:c>
      <x:c r="H60" s="19" t="str">
        <x:v>053</x:v>
      </x:c>
      <x:c r="I60" s="19" t="str">
        <x:v>CAT03</x:v>
      </x:c>
      <x:c r="J60" s="19" t="str">
        <x:v>Printer</x:v>
      </x:c>
      <x:c r="K60" s="19" t="str">
        <x:v>Epson</x:v>
      </x:c>
      <x:c r="L60" s="19" t="str">
        <x:v>M200- C11CC83412</x:v>
      </x:c>
      <x:c r="M60" s="19" t="str">
        <x:v>MOD042</x:v>
      </x:c>
      <x:c r="N60" s="19" t="str">
        <x:v>1 (1)</x:v>
      </x:c>
      <x:c r="O60" s="19" t="n">
        <x:v>1</x:v>
      </x:c>
      <x:c r="P60" s="19" t="n">
        <x:v>1</x:v>
      </x:c>
      <x:c r="Q60" s="19" t="n">
        <x:v>1</x:v>
      </x:c>
      <x:c r="R60" s="19" t="n">
        <x:v>1</x:v>
      </x:c>
      <x:c r="S60" s="26" t="n">
        <x:v>15547</x:v>
      </x:c>
      <x:c r="T60" s="26" t="n">
        <x:v>15547</x:v>
      </x:c>
      <x:c r="U60" s="19" t="str">
        <x:v>SUP007</x:v>
      </x:c>
      <x:c r="V60" s="19" t="str">
        <x:v>Veetrag Computers Private Ltd.</x:v>
      </x:c>
      <x:c r="W60" s="19" t="str">
        <x:v>Veetrag Computers Private Ltd. Plot No.7. Parshwanath Nagar, Near Jain Temple, Kupwad MIDC Road,Sangli-416415, Maharashtra, India.CIN-U51909PN20 14PTC152370, GSTIN NO. 27AAECV8865D1ZY</x:v>
      </x:c>
      <x:c r="X60" s="28" t="n">
        <x:v>45314</x:v>
      </x:c>
      <x:c r="Y60" s="19" t="str">
        <x:v>VCPL-2/2324/3051</x:v>
      </x:c>
      <x:c r="Z60" s="19" t="str">
        <x:v>-</x:v>
      </x:c>
      <x:c r="AA60" s="19" t="str">
        <x:v>-</x:v>
      </x:c>
      <x:c r="AB60" s="19" t="str">
        <x:v>ACTIVE/RECORDED</x:v>
      </x:c>
      <x:c r="AC60"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S2LY338134 ( GST 18 % Included) Epson</x:v>
      </x:c>
    </x:row>
    <x:row r="61" ht="34" customHeight="1">
      <x:c r="A61" s="19" t="str">
        <x:v>REC0057</x:v>
      </x:c>
      <x:c r="B61" s="19" t="str">
        <x:v>BAT0057</x:v>
      </x:c>
      <x:c r="C61" s="19" t="str">
        <x:v>Printer.pdf</x:v>
      </x:c>
      <x:c r="D61" s="19" t="n">
        <x:v>3</x:v>
      </x:c>
      <x:c r="E61" s="19" t="str">
        <x:v>LAB004</x:v>
      </x:c>
      <x:c r="F61" s="19" t="str">
        <x:v>D-04</x:v>
      </x:c>
      <x:c r="G61" s="19" t="str">
        <x:v>Application Development Tool Laboratory</x:v>
      </x:c>
      <x:c r="H61" s="19" t="str">
        <x:v>027</x:v>
      </x:c>
      <x:c r="I61" s="19" t="str">
        <x:v>CAT03</x:v>
      </x:c>
      <x:c r="J61" s="19" t="str">
        <x:v>Printer</x:v>
      </x:c>
      <x:c r="K61" s="19" t="str">
        <x:v>HP</x:v>
      </x:c>
      <x:c r="L61" s="19" t="str">
        <x:v>MFP 1005</x:v>
      </x:c>
      <x:c r="M61" s="19" t="str">
        <x:v>MOD043</x:v>
      </x:c>
      <x:c r="N61" s="19" t="str">
        <x:v>1 (1)</x:v>
      </x:c>
      <x:c r="O61" s="19" t="n">
        <x:v>1</x:v>
      </x:c>
      <x:c r="P61" s="19" t="n">
        <x:v>1</x:v>
      </x:c>
      <x:c r="Q61" s="19" t="n">
        <x:v>1</x:v>
      </x:c>
      <x:c r="R61" s="19" t="n">
        <x:v>1</x:v>
      </x:c>
      <x:c r="S61" s="26" t="n">
        <x:v>12000</x:v>
      </x:c>
      <x:c r="T61" s="26" t="n">
        <x:v>12000</x:v>
      </x:c>
      <x:c r="U61" s="19" t="str">
        <x:v>SUP007</x:v>
      </x:c>
      <x:c r="V61" s="19" t="str">
        <x:v>Veetrag Computers Private Ltd.</x:v>
      </x:c>
      <x:c r="W61" s="19" t="str">
        <x:v>Veetrag Computers, Shree Hanuman Pani Purvatha, Bldg, A/P-Udgaon, Tal-Shirol, Dist-Kolhapur-416134</x:v>
      </x:c>
      <x:c r="X61" s="28" t="n">
        <x:v>42286</x:v>
      </x:c>
      <x:c r="Y61" s="19" t="str">
        <x:v>SUD10/1516/1201</x:v>
      </x:c>
      <x:c r="Z61" s="19" t="str">
        <x:v>-</x:v>
      </x:c>
      <x:c r="AA61" s="19" t="str">
        <x:v>-</x:v>
      </x:c>
      <x:c r="AB61" s="19" t="str">
        <x:v>ACTIVE/RECORDED</x:v>
      </x:c>
      <x:c r="AC61" s="19" t="str">
        <x:v>HP LJ MFP 1005 1 Year Onsite Service by HP (VAT @5% included) HP 1005</x:v>
      </x:c>
    </x:row>
    <x:row r="62" ht="34" customHeight="1">
      <x:c r="A62" s="19" t="str">
        <x:v>REC0058</x:v>
      </x:c>
      <x:c r="B62" s="19" t="str">
        <x:v>BAT0058</x:v>
      </x:c>
      <x:c r="C62" s="19" t="str">
        <x:v>Printer.pdf</x:v>
      </x:c>
      <x:c r="D62" s="19" t="n">
        <x:v>4</x:v>
      </x:c>
      <x:c r="E62" s="19" t="str">
        <x:v>LAB005</x:v>
      </x:c>
      <x:c r="F62" s="19" t="str">
        <x:v>D-05</x:v>
      </x:c>
      <x:c r="G62" s="19" t="str">
        <x:v>Operating System Laboratory</x:v>
      </x:c>
      <x:c r="H62" s="19" t="str">
        <x:v>021</x:v>
      </x:c>
      <x:c r="I62" s="19" t="str">
        <x:v>CAT03</x:v>
      </x:c>
      <x:c r="J62" s="19" t="str">
        <x:v>Printer</x:v>
      </x:c>
      <x:c r="K62" s="19" t="str">
        <x:v>HP</x:v>
      </x:c>
      <x:c r="L62" s="19" t="str">
        <x:v>Laserjet CP-1025</x:v>
      </x:c>
      <x:c r="M62" s="19" t="str">
        <x:v>MOD044</x:v>
      </x:c>
      <x:c r="N62" s="19" t="str">
        <x:v>1 (1)</x:v>
      </x:c>
      <x:c r="O62" s="19" t="n">
        <x:v>1</x:v>
      </x:c>
      <x:c r="P62" s="19" t="n">
        <x:v>1</x:v>
      </x:c>
      <x:c r="Q62" s="19" t="n">
        <x:v>1</x:v>
      </x:c>
      <x:c r="R62" s="19" t="n">
        <x:v>1</x:v>
      </x:c>
      <x:c r="S62" s="26" t="n">
        <x:v>14385</x:v>
      </x:c>
      <x:c r="T62" s="26" t="n">
        <x:v>14385</x:v>
      </x:c>
      <x:c r="U62" s="19" t="str">
        <x:v>SUP007</x:v>
      </x:c>
      <x:c r="V62" s="19" t="str">
        <x:v>Veetrag Computers Private Ltd.</x:v>
      </x:c>
      <x:c r="W62" s="19" t="str">
        <x:v>Veetrag Computers, Shree Hanuman Pani Purvatha Building, A/P- Udhagaon, Tal- Shirol, Dist- Kolhapur Pin- 416134</x:v>
      </x:c>
      <x:c r="X62" s="28" t="n">
        <x:v>40985</x:v>
      </x:c>
      <x:c r="Y62" s="19" t="str">
        <x:v>SUD03/1112/1017</x:v>
      </x:c>
      <x:c r="Z62" s="19" t="str">
        <x:v>-</x:v>
      </x:c>
      <x:c r="AA62" s="19" t="str">
        <x:v>-</x:v>
      </x:c>
      <x:c r="AB62" s="19" t="str">
        <x:v>ACTIVE/RECORDED</x:v>
      </x:c>
      <x:c r="AC62" s="19" t="str">
        <x:v>Printer : HP Laserjet CP-1025 Sr. No. 1 Year Warranty HP</x:v>
      </x:c>
    </x:row>
    <x:row r="63" ht="34" customHeight="1">
      <x:c r="A63" s="19" t="str">
        <x:v>REC0059</x:v>
      </x:c>
      <x:c r="B63" s="19" t="str">
        <x:v>BAT0059</x:v>
      </x:c>
      <x:c r="C63" s="19" t="str">
        <x:v>Printer.pdf</x:v>
      </x:c>
      <x:c r="D63" s="19" t="n">
        <x:v>5</x:v>
      </x:c>
      <x:c r="E63" s="19" t="str">
        <x:v>LAB006</x:v>
      </x:c>
      <x:c r="F63" s="19" t="str">
        <x:v>D-06</x:v>
      </x:c>
      <x:c r="G63" s="19" t="str">
        <x:v>Web Development Tool Lab</x:v>
      </x:c>
      <x:c r="H63" s="19" t="str">
        <x:v>037</x:v>
      </x:c>
      <x:c r="I63" s="19" t="str">
        <x:v>CAT03</x:v>
      </x:c>
      <x:c r="J63" s="19" t="str">
        <x:v>Printer</x:v>
      </x:c>
      <x:c r="K63" s="19" t="str">
        <x:v>HP</x:v>
      </x:c>
      <x:c r="L63" s="19" t="str">
        <x:v>MFP 1005</x:v>
      </x:c>
      <x:c r="M63" s="19" t="str">
        <x:v>MOD045</x:v>
      </x:c>
      <x:c r="N63" s="19" t="str">
        <x:v>1 (1)</x:v>
      </x:c>
      <x:c r="O63" s="19" t="n">
        <x:v>1</x:v>
      </x:c>
      <x:c r="P63" s="19" t="n">
        <x:v>1</x:v>
      </x:c>
      <x:c r="Q63" s="19" t="n">
        <x:v>1</x:v>
      </x:c>
      <x:c r="R63" s="19" t="n">
        <x:v>1</x:v>
      </x:c>
      <x:c r="S63" s="26" t="n">
        <x:v>13999.99</x:v>
      </x:c>
      <x:c r="T63" s="26" t="n">
        <x:v>13999.99</x:v>
      </x:c>
      <x:c r="U63" s="19" t="str">
        <x:v>SUP007</x:v>
      </x:c>
      <x:c r="V63" s="19" t="str">
        <x:v>Veetrag Computers Private Ltd.</x:v>
      </x:c>
      <x:c r="W63" s="19" t="str">
        <x:v>Veetrag Computers Pvt Ltd, Shree Hanuman Pani Purvatha Manadali Limited Building, Sambhaji chowk, Chinchwad Fada, A/P- Udgaon, Tal- Shirol, Dist- Kolhapur</x:v>
      </x:c>
      <x:c r="X63" s="28" t="n">
        <x:v>42620</x:v>
      </x:c>
      <x:c r="Y63" s="19" t="str">
        <x:v>SUD09/1617/0567</x:v>
      </x:c>
      <x:c r="Z63" s="19" t="str">
        <x:v>-</x:v>
      </x:c>
      <x:c r="AA63" s="19" t="str">
        <x:v>-</x:v>
      </x:c>
      <x:c r="AB63" s="19" t="str">
        <x:v>ACTIVE/RECORDED</x:v>
      </x:c>
      <x:c r="AC63" s="19" t="str">
        <x:v>Printer: HP Laserjet MFP 1005, Print resolution-True 1200X1200 DPI, Print Speed-14 PPM, USB Connectivity,Economode Print Quality Setting Print, Economode Compatible with 12A Toner Warrenty 1 Year on site service hy HP. HP</x:v>
      </x:c>
    </x:row>
    <x:row r="64" ht="34" customHeight="1">
      <x:c r="A64" s="19" t="str">
        <x:v>REC0060</x:v>
      </x:c>
      <x:c r="B64" s="19" t="str">
        <x:v>BAT0060</x:v>
      </x:c>
      <x:c r="C64" s="19" t="str">
        <x:v>Printer.pdf</x:v>
      </x:c>
      <x:c r="D64" s="19" t="n">
        <x:v>5</x:v>
      </x:c>
      <x:c r="E64" s="19" t="str">
        <x:v>LAB006</x:v>
      </x:c>
      <x:c r="F64" s="19" t="str">
        <x:v>D-06</x:v>
      </x:c>
      <x:c r="G64" s="19" t="str">
        <x:v>Web Development Tool Lab</x:v>
      </x:c>
      <x:c r="H64" s="19" t="str">
        <x:v>041</x:v>
      </x:c>
      <x:c r="I64" s="19" t="str">
        <x:v>CAT03</x:v>
      </x:c>
      <x:c r="J64" s="19" t="str">
        <x:v>Printer</x:v>
      </x:c>
      <x:c r="K64" s="19" t="str">
        <x:v>Epson</x:v>
      </x:c>
      <x:c r="L64" s="19" t="str">
        <x:v>M200- C11CC83412</x:v>
      </x:c>
      <x:c r="M64" s="19" t="str">
        <x:v>MOD042</x:v>
      </x:c>
      <x:c r="N64" s="19" t="str">
        <x:v>1 (1)</x:v>
      </x:c>
      <x:c r="O64" s="19" t="n">
        <x:v>1</x:v>
      </x:c>
      <x:c r="P64" s="19" t="n">
        <x:v>1</x:v>
      </x:c>
      <x:c r="Q64" s="19" t="n">
        <x:v>1</x:v>
      </x:c>
      <x:c r="R64" s="19" t="n">
        <x:v>1</x:v>
      </x:c>
      <x:c r="S64" s="26" t="n">
        <x:v>15500</x:v>
      </x:c>
      <x:c r="T64" s="26" t="n">
        <x:v>15500</x:v>
      </x:c>
      <x:c r="U64" s="19" t="str">
        <x:v>SUP007</x:v>
      </x:c>
      <x:c r="V64" s="19" t="str">
        <x:v>Veetrag Computers Private Ltd.</x:v>
      </x:c>
      <x:c r="W64" s="19" t="str">
        <x:v>Veetrag Computers Private Ltd. Plot No.7. Parshwanath Nagar, Near Jain Temple, Kupwad MIDC Road,Sangli-416415, Maharashtra, India.CIN-U51909PN20 14PTC152370, GSTIN NO. 27AAECV8865D1ZY</x:v>
      </x:c>
      <x:c r="X64" s="28" t="n">
        <x:v>44893</x:v>
      </x:c>
      <x:c r="Y64" s="19" t="str">
        <x:v>VCPL-2/2223/2339</x:v>
      </x:c>
      <x:c r="Z64" s="19" t="str">
        <x:v>-</x:v>
      </x:c>
      <x:c r="AA64" s="19" t="str">
        <x:v>-</x:v>
      </x:c>
      <x:c r="AB64" s="19" t="str">
        <x:v>ACTIVE/RECORDED</x:v>
      </x:c>
      <x:c r="AC64"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S2LY322882 ( GST 18 % Included) Epson</x:v>
      </x:c>
    </x:row>
    <x:row r="65" ht="34" customHeight="1">
      <x:c r="A65" s="19" t="str">
        <x:v>REC0061</x:v>
      </x:c>
      <x:c r="B65" s="19" t="str">
        <x:v>BAT0061</x:v>
      </x:c>
      <x:c r="C65" s="19" t="str">
        <x:v>Printer.pdf</x:v>
      </x:c>
      <x:c r="D65" s="19" t="n">
        <x:v>6</x:v>
      </x:c>
      <x:c r="E65" s="19" t="str">
        <x:v>LAB007</x:v>
      </x:c>
      <x:c r="F65" s="19" t="str">
        <x:v>D-07</x:v>
      </x:c>
      <x:c r="G65" s="19" t="str">
        <x:v>Network Laboratory</x:v>
      </x:c>
      <x:c r="H65" s="19" t="str">
        <x:v>004</x:v>
      </x:c>
      <x:c r="I65" s="19" t="str">
        <x:v>CAT03</x:v>
      </x:c>
      <x:c r="J65" s="19" t="str">
        <x:v>Printer</x:v>
      </x:c>
      <x:c r="K65" s="19" t="str">
        <x:v>HP</x:v>
      </x:c>
      <x:c r="L65" s="19" t="str">
        <x:v>1005</x:v>
      </x:c>
      <x:c r="M65" s="19" t="str">
        <x:v>MOD046</x:v>
      </x:c>
      <x:c r="N65" s="19" t="str">
        <x:v>1 (1)</x:v>
      </x:c>
      <x:c r="O65" s="19" t="n">
        <x:v>1</x:v>
      </x:c>
      <x:c r="P65" s="19" t="n">
        <x:v>1</x:v>
      </x:c>
      <x:c r="Q65" s="19" t="n">
        <x:v>1</x:v>
      </x:c>
      <x:c r="R65" s="19" t="n">
        <x:v>1</x:v>
      </x:c>
      <x:c r="S65" s="26" t="n">
        <x:v>11800</x:v>
      </x:c>
      <x:c r="T65" s="26" t="n">
        <x:v>11800</x:v>
      </x:c>
      <x:c r="U65" s="19" t="str">
        <x:v>SUP003</x:v>
      </x:c>
      <x:c r="V65" s="19" t="str">
        <x:v>IT GLOB</x:v>
      </x:c>
      <x:c r="W65" s="19" t="str">
        <x:v>"""IT GLOB, CS No.636, Patil Building Opp. Udgaon Bus stop, A/P- udgaon, Tal- Shirol, Dist- Kolhapur Pin- 416134</x:v>
      </x:c>
      <x:c r="X65" s="28" t="n">
        <x:v>41528</x:v>
      </x:c>
      <x:c r="Y65" s="19" t="str">
        <x:v>SUD-09/0012</x:v>
      </x:c>
      <x:c r="Z65" s="19" t="str">
        <x:v>-</x:v>
      </x:c>
      <x:c r="AA65" s="19" t="str">
        <x:v>- ok</x:v>
      </x:c>
      <x:c r="AB65" s="19" t="str">
        <x:v>OK</x:v>
      </x:c>
      <x:c r="AC65" s="19" t="str">
        <x:v>HP 1005 (A10) All in One printer with scan, Copy &amp; Print Option Warranty 1 Year Sr. No. CNH8F33G (Including 5% @ VAT) HP</x:v>
      </x:c>
    </x:row>
    <x:row r="66" ht="34" customHeight="1">
      <x:c r="A66" s="19" t="str">
        <x:v>REC0062</x:v>
      </x:c>
      <x:c r="B66" s="19" t="str">
        <x:v>BAT0062</x:v>
      </x:c>
      <x:c r="C66" s="19" t="str">
        <x:v>Printer.pdf</x:v>
      </x:c>
      <x:c r="D66" s="19" t="n">
        <x:v>7</x:v>
      </x:c>
      <x:c r="E66" s="19" t="str">
        <x:v>LAB009</x:v>
      </x:c>
      <x:c r="F66" s="19" t="str">
        <x:v>D-09</x:v>
      </x:c>
      <x:c r="G66" s="19" t="str">
        <x:v>Apple Education Center Laboratory</x:v>
      </x:c>
      <x:c r="H66" s="19" t="str">
        <x:v>002</x:v>
      </x:c>
      <x:c r="I66" s="19" t="str">
        <x:v>CAT03</x:v>
      </x:c>
      <x:c r="J66" s="19" t="str">
        <x:v>Printer</x:v>
      </x:c>
      <x:c r="K66" s="19" t="str">
        <x:v>HP</x:v>
      </x:c>
      <x:c r="L66" s="19" t="str">
        <x:v>MFP 1005</x:v>
      </x:c>
      <x:c r="M66" s="19" t="str">
        <x:v>MOD045</x:v>
      </x:c>
      <x:c r="N66" s="19" t="str">
        <x:v>1 (1)</x:v>
      </x:c>
      <x:c r="O66" s="19" t="n">
        <x:v>1</x:v>
      </x:c>
      <x:c r="P66" s="19" t="n">
        <x:v>1</x:v>
      </x:c>
      <x:c r="Q66" s="19" t="n">
        <x:v>1</x:v>
      </x:c>
      <x:c r="R66" s="19" t="n">
        <x:v>1</x:v>
      </x:c>
      <x:c r="S66" s="26" t="n">
        <x:v>13999.99</x:v>
      </x:c>
      <x:c r="T66" s="26" t="n">
        <x:v>13999.99</x:v>
      </x:c>
      <x:c r="U66" s="19" t="str">
        <x:v>SUP007</x:v>
      </x:c>
      <x:c r="V66" s="19" t="str">
        <x:v>Veetrag Computers Private Ltd.</x:v>
      </x:c>
      <x:c r="W66" s="19" t="str">
        <x:v>Veetrag Computers Pvt Ltd, Shree Hanuman Pani Purvatha Manadali Limited Building, Sambhaji chowk, Chinchwad Fada, A/P- Udgaon, Tal- Shirol, Dist- Kolhapur</x:v>
      </x:c>
      <x:c r="X66" s="28" t="n">
        <x:v>42620</x:v>
      </x:c>
      <x:c r="Y66" s="19" t="str">
        <x:v>SUD09/1617/0567</x:v>
      </x:c>
      <x:c r="Z66" s="19" t="str">
        <x:v>-</x:v>
      </x:c>
      <x:c r="AA66" s="19" t="str">
        <x:v>-</x:v>
      </x:c>
      <x:c r="AB66" s="19" t="str">
        <x:v>ACTIVE/RECORDED</x:v>
      </x:c>
      <x:c r="AC66" s="19" t="str">
        <x:v>Printer: HP Laserjet MFP 1005, Print resolution-True 1200X1200 DPI, Print Speed-14 PPM, USB Connectivity,Economode Print Quality Setting Print, Economode Compatible with 12A Toner Warrenty 1 Year on site service hy HP. HP</x:v>
      </x:c>
    </x:row>
    <x:row r="67" ht="34" customHeight="1">
      <x:c r="A67" s="19" t="str">
        <x:v>REC0063</x:v>
      </x:c>
      <x:c r="B67" s="19" t="str">
        <x:v>BAT0063</x:v>
      </x:c>
      <x:c r="C67" s="19" t="str">
        <x:v>Printer.pdf</x:v>
      </x:c>
      <x:c r="D67" s="19" t="n">
        <x:v>8</x:v>
      </x:c>
      <x:c r="E67" s="19" t="str">
        <x:v>LAB010</x:v>
      </x:c>
      <x:c r="F67" s="19" t="str">
        <x:v>D-10</x:v>
      </x:c>
      <x:c r="G67" s="19" t="str">
        <x:v>PG laboratory-1</x:v>
      </x:c>
      <x:c r="H67" s="19" t="str">
        <x:v>006</x:v>
      </x:c>
      <x:c r="I67" s="19" t="str">
        <x:v>CAT03</x:v>
      </x:c>
      <x:c r="J67" s="19" t="str">
        <x:v>Printer</x:v>
      </x:c>
      <x:c r="K67" s="19" t="str">
        <x:v>Epson</x:v>
      </x:c>
      <x:c r="L67" s="19" t="str">
        <x:v>M200- C11CC83412</x:v>
      </x:c>
      <x:c r="M67" s="19" t="str">
        <x:v>MOD042</x:v>
      </x:c>
      <x:c r="N67" s="19" t="str">
        <x:v>1 (1)</x:v>
      </x:c>
      <x:c r="O67" s="19" t="n">
        <x:v>1</x:v>
      </x:c>
      <x:c r="P67" s="19" t="n">
        <x:v>1</x:v>
      </x:c>
      <x:c r="Q67" s="19" t="n">
        <x:v>1</x:v>
      </x:c>
      <x:c r="R67" s="19" t="n">
        <x:v>1</x:v>
      </x:c>
      <x:c r="S67" s="26" t="n">
        <x:v>15500</x:v>
      </x:c>
      <x:c r="T67" s="26" t="n">
        <x:v>15500</x:v>
      </x:c>
      <x:c r="U67" s="19" t="str">
        <x:v>SUP007</x:v>
      </x:c>
      <x:c r="V67" s="19" t="str">
        <x:v>Veetrag Computers Private Ltd.</x:v>
      </x:c>
      <x:c r="W67" s="19" t="str">
        <x:v>Veetrag Computers Private Ltd. Plot No.7. Parshwanath Nagar, Near Jain Temple, Kupwad MIDC Road,Sangli-416415, Maharashtra, India.</x:v>
      </x:c>
      <x:c r="X67" s="28" t="n">
        <x:v>44893</x:v>
      </x:c>
      <x:c r="Y67" s="19" t="str">
        <x:v>VCPL-2/2223/2339</x:v>
      </x:c>
      <x:c r="Z67" s="19" t="str">
        <x:v>-</x:v>
      </x:c>
      <x:c r="AA67" s="19" t="str">
        <x:v>-</x:v>
      </x:c>
      <x:c r="AB67" s="19" t="str">
        <x:v>ACTIVE/RECORDED</x:v>
      </x:c>
      <x:c r="AC67"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S2LY322880 ( GST 18 % Included) Epson</x:v>
      </x:c>
    </x:row>
    <x:row r="68" ht="34" customHeight="1">
      <x:c r="A68" s="19" t="str">
        <x:v>REC0064</x:v>
      </x:c>
      <x:c r="B68" s="19" t="str">
        <x:v>BAT0064</x:v>
      </x:c>
      <x:c r="C68" s="19" t="str">
        <x:v>Printer.pdf</x:v>
      </x:c>
      <x:c r="D68" s="19" t="n">
        <x:v>9</x:v>
      </x:c>
      <x:c r="E68" s="19" t="str">
        <x:v>LAB011</x:v>
      </x:c>
      <x:c r="F68" s="19" t="str">
        <x:v>D-11</x:v>
      </x:c>
      <x:c r="G68" s="19" t="str">
        <x:v>PG laboratory-2</x:v>
      </x:c>
      <x:c r="H68" s="19" t="str">
        <x:v>003</x:v>
      </x:c>
      <x:c r="I68" s="19" t="str">
        <x:v>CAT03</x:v>
      </x:c>
      <x:c r="J68" s="19" t="str">
        <x:v>Printer</x:v>
      </x:c>
      <x:c r="K68" s="19" t="str">
        <x:v>Epson</x:v>
      </x:c>
      <x:c r="L68" s="19" t="str">
        <x:v>M200- C11CC83412</x:v>
      </x:c>
      <x:c r="M68" s="19" t="str">
        <x:v>MOD042</x:v>
      </x:c>
      <x:c r="N68" s="19" t="str">
        <x:v>1 (1)</x:v>
      </x:c>
      <x:c r="O68" s="19" t="n">
        <x:v>1</x:v>
      </x:c>
      <x:c r="P68" s="19" t="n">
        <x:v>1</x:v>
      </x:c>
      <x:c r="Q68" s="19" t="n">
        <x:v>1</x:v>
      </x:c>
      <x:c r="R68" s="19" t="n">
        <x:v>1</x:v>
      </x:c>
      <x:c r="S68" s="26" t="n">
        <x:v>15547</x:v>
      </x:c>
      <x:c r="T68" s="26" t="n">
        <x:v>15547</x:v>
      </x:c>
      <x:c r="U68" s="19" t="str">
        <x:v>SUP007</x:v>
      </x:c>
      <x:c r="V68" s="19" t="str">
        <x:v>Veetrag Computers Private Ltd.</x:v>
      </x:c>
      <x:c r="W68" s="19" t="str">
        <x:v>Veetrag Computers Private Ltd. Plot No.7. Parshwanath Nagar, Near Jain Temple, Kupwad MIDC Road,Sangli-416415, Maharashtra, India.CIN-U51909PN20 14PTC152370, GSTIN NO. 27AAECV8865D1ZY</x:v>
      </x:c>
      <x:c r="X68" s="28" t="n">
        <x:v>45314</x:v>
      </x:c>
      <x:c r="Y68" s="19" t="str">
        <x:v>VCPL-2/2324/3051</x:v>
      </x:c>
      <x:c r="Z68" s="19" t="str">
        <x:v>-</x:v>
      </x:c>
      <x:c r="AA68" s="19" t="str">
        <x:v>-</x:v>
      </x:c>
      <x:c r="AB68" s="19" t="str">
        <x:v>ACTIVE/RECORDED</x:v>
      </x:c>
      <x:c r="AC68" s="19" t="str">
        <x:v>Printer: 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S2LY338134 ( GST 18 % Included) Epson</x:v>
      </x:c>
    </x:row>
    <x:row r="69" ht="34" customHeight="1">
      <x:c r="A69" s="19" t="str">
        <x:v>REC0065</x:v>
      </x:c>
      <x:c r="B69" s="19" t="str">
        <x:v>BAT0065</x:v>
      </x:c>
      <x:c r="C69" s="19" t="str">
        <x:v>UPS.pdf</x:v>
      </x:c>
      <x:c r="D69" s="19" t="n">
        <x:v>1</x:v>
      </x:c>
      <x:c r="E69" s="19" t="str">
        <x:v>LAB001</x:v>
      </x:c>
      <x:c r="F69" s="19" t="str">
        <x:v>D-01</x:v>
      </x:c>
      <x:c r="G69" s="19" t="str">
        <x:v>Linux Laboratory</x:v>
      </x:c>
      <x:c r="H69" s="19" t="str">
        <x:v>026</x:v>
      </x:c>
      <x:c r="I69" s="19" t="str">
        <x:v>CAT04</x:v>
      </x:c>
      <x:c r="J69" s="19" t="str">
        <x:v>UPS</x:v>
      </x:c>
      <x:c r="K69" s="19" t="str">
        <x:v>Liebert</x:v>
      </x:c>
      <x:c r="L69" s="19" t="str">
        <x:v>Powerbank 6000</x:v>
      </x:c>
      <x:c r="M69" s="19" t="str">
        <x:v>MOD047</x:v>
      </x:c>
      <x:c r="N69" s="19" t="str">
        <x:v>1 (1)</x:v>
      </x:c>
      <x:c r="O69" s="19" t="n">
        <x:v>1</x:v>
      </x:c>
      <x:c r="P69" s="19" t="n">
        <x:v>1</x:v>
      </x:c>
      <x:c r="Q69" s="19" t="n">
        <x:v>1</x:v>
      </x:c>
      <x:c r="R69" s="19" t="n">
        <x:v>1</x:v>
      </x:c>
      <x:c r="S69" s="26" t="n">
        <x:v>98000</x:v>
      </x:c>
      <x:c r="T69" s="26" t="n">
        <x:v>98000</x:v>
      </x:c>
      <x:c r="U69" s="19" t="str">
        <x:v>SUP006</x:v>
      </x:c>
      <x:c r="V69" s="19" t="str">
        <x:v>Prasa Sales P. Ltd.</x:v>
      </x:c>
      <x:c r="W69" s="19" t="str">
        <x:v>Prasa Sales P. Ltd., (06-07) Survey No. 271/8 A/p Bhugaon, Tal- Mulshi, Dist- Pune</x:v>
      </x:c>
      <x:c r="X69" s="28" t="n">
        <x:v>38957</x:v>
      </x:c>
      <x:c r="Y69" s="19" t="str">
        <x:v>2006-270</x:v>
      </x:c>
      <x:c r="Z69" s="19" t="str">
        <x:v>-</x:v>
      </x:c>
      <x:c r="AA69" s="19" t="str">
        <x:v>-</x:v>
      </x:c>
      <x:c r="AB69" s="19" t="str">
        <x:v>ACTIVE/RECORDED</x:v>
      </x:c>
      <x:c r="AC69" s="19" t="str">
        <x:v>Online UPS (Power Bank, 6000 Liebert Make) Sr. No. 200630J1410 Liebert</x:v>
      </x:c>
    </x:row>
    <x:row r="70" ht="34" customHeight="1">
      <x:c r="A70" s="19" t="str">
        <x:v>REC0066</x:v>
      </x:c>
      <x:c r="B70" s="19" t="str">
        <x:v>BAT0066</x:v>
      </x:c>
      <x:c r="C70" s="19" t="str">
        <x:v>UPS.pdf</x:v>
      </x:c>
      <x:c r="D70" s="19" t="n">
        <x:v>1</x:v>
      </x:c>
      <x:c r="E70" s="19" t="str">
        <x:v>LAB001</x:v>
      </x:c>
      <x:c r="F70" s="19" t="str">
        <x:v>D-01</x:v>
      </x:c>
      <x:c r="G70" s="19" t="str">
        <x:v>Linux Laboratory</x:v>
      </x:c>
      <x:c r="H70" s="19" t="str">
        <x:v>041</x:v>
      </x:c>
      <x:c r="I70" s="19" t="str">
        <x:v>CAT04</x:v>
      </x:c>
      <x:c r="J70" s="19" t="str">
        <x:v>UPS</x:v>
      </x:c>
      <x:c r="K70" s="19" t="str">
        <x:v>Renutron</x:v>
      </x:c>
      <x:c r="L70" s="19" t="str">
        <x:v>6 KVA Online UPS</x:v>
      </x:c>
      <x:c r="M70" s="19" t="str">
        <x:v>MOD048</x:v>
      </x:c>
      <x:c r="N70" s="19" t="str">
        <x:v>1 (1)</x:v>
      </x:c>
      <x:c r="O70" s="19" t="n">
        <x:v>1</x:v>
      </x:c>
      <x:c r="P70" s="19" t="n">
        <x:v>1</x:v>
      </x:c>
      <x:c r="Q70" s="19" t="n">
        <x:v>1</x:v>
      </x:c>
      <x:c r="R70" s="19" t="n">
        <x:v>1</x:v>
      </x:c>
      <x:c r="S70" s="26" t="n">
        <x:v>84000</x:v>
      </x:c>
      <x:c r="T70" s="26" t="n">
        <x:v>84000</x:v>
      </x:c>
      <x:c r="U70" s="19" t="str">
        <x:v>SUP007</x:v>
      </x:c>
      <x:c r="V70" s="19" t="str">
        <x:v>Veetrag Computers Private Ltd.</x:v>
      </x:c>
      <x:c r="W70" s="19" t="str">
        <x:v>Veetrag Computers Private Ltd. Plot No.7. Parshwanath Nagar, Near Jain Temple, Kupwad MIDC Road,Sangli-416415, Maharashtra, India.CIN-U51909PN20 14PTC152370, GSTIN NO. 27AAECV8865D1ZY</x:v>
      </x:c>
      <x:c r="X70" s="28" t="n">
        <x:v>44594</x:v>
      </x:c>
      <x:c r="Y70" s="19" t="str">
        <x:v>VCPL-2/2122/2860</x:v>
      </x:c>
      <x:c r="Z70" s="19" t="str">
        <x:v>-</x:v>
      </x:c>
      <x:c r="AA70" s="19" t="str">
        <x:v>-</x:v>
      </x:c>
      <x:c r="AB70" s="19" t="str">
        <x:v>ACTIVE/RECORDED</x:v>
      </x:c>
      <x:c r="AC70"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D2202499 ( Including CGST &amp; SGST 18 % ) Renutron</x:v>
      </x:c>
    </x:row>
    <x:row r="71" ht="34" customHeight="1">
      <x:c r="A71" s="19" t="str">
        <x:v>REC0067</x:v>
      </x:c>
      <x:c r="B71" s="19" t="str">
        <x:v>BAT0067</x:v>
      </x:c>
      <x:c r="C71" s="19" t="str">
        <x:v>UPS.pdf</x:v>
      </x:c>
      <x:c r="D71" s="19" t="n">
        <x:v>2</x:v>
      </x:c>
      <x:c r="E71" s="19" t="str">
        <x:v>LAB002</x:v>
      </x:c>
      <x:c r="F71" s="19" t="str">
        <x:v>D-02</x:v>
      </x:c>
      <x:c r="G71" s="19" t="str">
        <x:v>Database Laboratory</x:v>
      </x:c>
      <x:c r="H71" s="19" t="str">
        <x:v>013</x:v>
      </x:c>
      <x:c r="I71" s="19" t="str">
        <x:v>CAT04</x:v>
      </x:c>
      <x:c r="J71" s="19" t="str">
        <x:v>UPS</x:v>
      </x:c>
      <x:c r="K71" s="19" t="str">
        <x:v>RPC Online</x:v>
      </x:c>
      <x:c r="L71" s="19" t="str">
        <x:v>RPC Online 4 KVA</x:v>
      </x:c>
      <x:c r="M71" s="19" t="str">
        <x:v>MOD049</x:v>
      </x:c>
      <x:c r="N71" s="19" t="str">
        <x:v>1 (1)</x:v>
      </x:c>
      <x:c r="O71" s="19" t="n">
        <x:v>1</x:v>
      </x:c>
      <x:c r="P71" s="19" t="n">
        <x:v>1</x:v>
      </x:c>
      <x:c r="Q71" s="19" t="n">
        <x:v>1</x:v>
      </x:c>
      <x:c r="R71" s="19" t="n">
        <x:v>1</x:v>
      </x:c>
      <x:c r="S71" s="26" t="n">
        <x:v>78000</x:v>
      </x:c>
      <x:c r="T71" s="26" t="n">
        <x:v>78000</x:v>
      </x:c>
      <x:c r="U71" s="19" t="str">
        <x:v>SUP007</x:v>
      </x:c>
      <x:c r="V71" s="19" t="str">
        <x:v>Veetrag Computers Private Ltd.</x:v>
      </x:c>
      <x:c r="W71" s="19" t="str">
        <x:v>Veetrag Computers, Shree Hanuman Pani Purvatha Building, A/P- Vdhagaon, Tal- Shirol, Dist- Kolhapur Pin- 416135</x:v>
      </x:c>
      <x:c r="X71" s="28" t="n">
        <x:v>38576</x:v>
      </x:c>
      <x:c r="Y71" s="19" t="str"/>
      <x:c r="Z71" s="19" t="str">
        <x:v>-</x:v>
      </x:c>
      <x:c r="AA71" s="19" t="str">
        <x:v>- Not in Repairable state</x:v>
      </x:c>
      <x:c r="AB71" s="19" t="str">
        <x:v>NOT_REPAIRABLE</x:v>
      </x:c>
      <x:c r="AC71" s="19" t="str">
        <x:v>4 KVA Online With 3x12v 74 AH Batteries (Sr. No. 0508286) Model- RPC ONLINE Sealed Lead Acid Maintainance free Batteries - 6 RPC Online</x:v>
      </x:c>
    </x:row>
    <x:row r="72" ht="34" customHeight="1">
      <x:c r="A72" s="19" t="str">
        <x:v>REC0068</x:v>
      </x:c>
      <x:c r="B72" s="19" t="str">
        <x:v>BAT0068</x:v>
      </x:c>
      <x:c r="C72" s="19" t="str">
        <x:v>UPS.pdf</x:v>
      </x:c>
      <x:c r="D72" s="19" t="n">
        <x:v>2</x:v>
      </x:c>
      <x:c r="E72" s="19" t="str">
        <x:v>LAB002</x:v>
      </x:c>
      <x:c r="F72" s="19" t="str">
        <x:v>D-02</x:v>
      </x:c>
      <x:c r="G72" s="19" t="str">
        <x:v>Database Laboratory</x:v>
      </x:c>
      <x:c r="H72" s="19" t="str">
        <x:v>035</x:v>
      </x:c>
      <x:c r="I72" s="19" t="str">
        <x:v>CAT04</x:v>
      </x:c>
      <x:c r="J72" s="19" t="str">
        <x:v>UPS</x:v>
      </x:c>
      <x:c r="K72" s="19" t="str">
        <x:v>Renutron</x:v>
      </x:c>
      <x:c r="L72" s="19" t="str">
        <x:v>6 KVA Online UPS</x:v>
      </x:c>
      <x:c r="M72" s="19" t="str">
        <x:v>MOD048</x:v>
      </x:c>
      <x:c r="N72" s="19" t="str">
        <x:v>1 (1)</x:v>
      </x:c>
      <x:c r="O72" s="19" t="n">
        <x:v>1</x:v>
      </x:c>
      <x:c r="P72" s="19" t="n">
        <x:v>1</x:v>
      </x:c>
      <x:c r="Q72" s="19" t="n">
        <x:v>1</x:v>
      </x:c>
      <x:c r="R72" s="19" t="n">
        <x:v>1</x:v>
      </x:c>
      <x:c r="S72" s="26" t="n">
        <x:v>84000</x:v>
      </x:c>
      <x:c r="T72" s="26" t="n">
        <x:v>84000</x:v>
      </x:c>
      <x:c r="U72" s="19" t="str">
        <x:v>SUP007</x:v>
      </x:c>
      <x:c r="V72" s="19" t="str">
        <x:v>Veetrag Computers Private Ltd.</x:v>
      </x:c>
      <x:c r="W72" s="19" t="str">
        <x:v>Veetrag Computers Private Ltd. Plot No.7. Parshwanath Nagar, Near Jain Temple, Kupwad MIDC Road,Sangli-416415, Maharashtra, India.CIN-U51909PN20 14PTC152370, GSTIN NO. 27AAECV8865D1ZY</x:v>
      </x:c>
      <x:c r="X72" s="28" t="n">
        <x:v>44594</x:v>
      </x:c>
      <x:c r="Y72" s="19" t="str">
        <x:v>VCPL-2/2122/2860</x:v>
      </x:c>
      <x:c r="Z72" s="19" t="str">
        <x:v>-</x:v>
      </x:c>
      <x:c r="AA72" s="19" t="str">
        <x:v>-</x:v>
      </x:c>
      <x:c r="AB72" s="19" t="str">
        <x:v>ACTIVE/RECORDED</x:v>
      </x:c>
      <x:c r="AC72"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D2202500 ( Including CGST &amp; SGST 18 % ) Renutron</x:v>
      </x:c>
    </x:row>
    <x:row r="73" ht="34" customHeight="1">
      <x:c r="A73" s="19" t="str">
        <x:v>REC0069</x:v>
      </x:c>
      <x:c r="B73" s="19" t="str">
        <x:v>BAT0069</x:v>
      </x:c>
      <x:c r="C73" s="19" t="str">
        <x:v>UPS.pdf</x:v>
      </x:c>
      <x:c r="D73" s="19" t="n">
        <x:v>3</x:v>
      </x:c>
      <x:c r="E73" s="19" t="str">
        <x:v>LAB003</x:v>
      </x:c>
      <x:c r="F73" s="19" t="str">
        <x:v>D-03</x:v>
      </x:c>
      <x:c r="G73" s="19" t="str">
        <x:v>Project Laboratory</x:v>
      </x:c>
      <x:c r="H73" s="19" t="str">
        <x:v>045</x:v>
      </x:c>
      <x:c r="I73" s="19" t="str">
        <x:v>CAT04</x:v>
      </x:c>
      <x:c r="J73" s="19" t="str">
        <x:v>UPS</x:v>
      </x:c>
      <x:c r="K73" s="19" t="str">
        <x:v>Renutron</x:v>
      </x:c>
      <x:c r="L73" s="19" t="str">
        <x:v>6 KVA Online UPS</x:v>
      </x:c>
      <x:c r="M73" s="19" t="str">
        <x:v>MOD050</x:v>
      </x:c>
      <x:c r="N73" s="19" t="str">
        <x:v>1 (1)</x:v>
      </x:c>
      <x:c r="O73" s="19" t="n">
        <x:v>1</x:v>
      </x:c>
      <x:c r="P73" s="19" t="n">
        <x:v>1</x:v>
      </x:c>
      <x:c r="Q73" s="19" t="n">
        <x:v>1</x:v>
      </x:c>
      <x:c r="R73" s="19" t="n">
        <x:v>1</x:v>
      </x:c>
      <x:c r="S73" s="26" t="n">
        <x:v>124000</x:v>
      </x:c>
      <x:c r="T73" s="26" t="n">
        <x:v>124000</x:v>
      </x:c>
      <x:c r="U73" s="19" t="str">
        <x:v>SUP007</x:v>
      </x:c>
      <x:c r="V73" s="19" t="str">
        <x:v>Veetrag Computers Private Ltd.</x:v>
      </x:c>
      <x:c r="W73" s="19" t="str">
        <x:v>Veetrag Computers Private Limited S. No. 219, opp. Galaxy Cable, MIDC Kupwad Block. Sangli- 416410 Dist. Sangli Maharashtra</x:v>
      </x:c>
      <x:c r="X73" s="28" t="n">
        <x:v>43021</x:v>
      </x:c>
      <x:c r="Y73" s="19" t="str">
        <x:v>VCPL-2/1718/1504</x:v>
      </x:c>
      <x:c r="Z73" s="19" t="str">
        <x:v>-</x:v>
      </x:c>
      <x:c r="AA73" s="19" t="str">
        <x:v>-</x:v>
      </x:c>
      <x:c r="AB73" s="19" t="str">
        <x:v>ACTIVE/RECORDED</x:v>
      </x:c>
      <x:c r="AC73"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,QUANTA SMF Battery 12 Volt 42 AH Qty. 12 (Warranty- 2 Years) &amp; Warrenty: 3Years on Site By RENUTRON Sr. No 1710082 Renutron</x:v>
      </x:c>
    </x:row>
    <x:row r="74" ht="34" customHeight="1">
      <x:c r="A74" s="19" t="str">
        <x:v>REC0070</x:v>
      </x:c>
      <x:c r="B74" s="19" t="str">
        <x:v>BAT0070</x:v>
      </x:c>
      <x:c r="C74" s="19" t="str">
        <x:v>UPS.pdf</x:v>
      </x:c>
      <x:c r="D74" s="19" t="n">
        <x:v>3</x:v>
      </x:c>
      <x:c r="E74" s="19" t="str">
        <x:v>LAB003</x:v>
      </x:c>
      <x:c r="F74" s="19" t="str">
        <x:v>D-03</x:v>
      </x:c>
      <x:c r="G74" s="19" t="str">
        <x:v>Project Laboratory</x:v>
      </x:c>
      <x:c r="H74" s="19" t="str">
        <x:v>047</x:v>
      </x:c>
      <x:c r="I74" s="19" t="str">
        <x:v>CAT04</x:v>
      </x:c>
      <x:c r="J74" s="19" t="str">
        <x:v>UPS</x:v>
      </x:c>
      <x:c r="K74" s="19" t="str">
        <x:v>Renutron</x:v>
      </x:c>
      <x:c r="L74" s="19" t="str">
        <x:v>3 KVA Online UPS</x:v>
      </x:c>
      <x:c r="M74" s="19" t="str">
        <x:v>MOD051</x:v>
      </x:c>
      <x:c r="N74" s="19" t="str">
        <x:v>1 (1)</x:v>
      </x:c>
      <x:c r="O74" s="19" t="n">
        <x:v>1</x:v>
      </x:c>
      <x:c r="P74" s="19" t="n">
        <x:v>1</x:v>
      </x:c>
      <x:c r="Q74" s="19" t="n">
        <x:v>1</x:v>
      </x:c>
      <x:c r="R74" s="19" t="n">
        <x:v>1</x:v>
      </x:c>
      <x:c r="S74" s="26" t="n">
        <x:v>44000</x:v>
      </x:c>
      <x:c r="T74" s="26" t="n">
        <x:v>44000</x:v>
      </x:c>
      <x:c r="U74" s="19" t="str">
        <x:v>SUP007</x:v>
      </x:c>
      <x:c r="V74" s="19" t="str">
        <x:v>Veetrag Computers Private Ltd.</x:v>
      </x:c>
      <x:c r="W74" s="19" t="str">
        <x:v>Veetrag Computers Private Ltd. Plot No.7. Parshwanath Nagar, Near Jain Temple, Kupwad MIDC Road,Sangli-416415, Maharashtra, India.CIN-U51909PN20 14PTC152370, GSTIN NO. 27AAECV8865D1ZY</x:v>
      </x:c>
      <x:c r="X74" s="28" t="n">
        <x:v>43335</x:v>
      </x:c>
      <x:c r="Y74" s="19" t="str">
        <x:v>VCPL-2/1819/1540</x:v>
      </x:c>
      <x:c r="Z74" s="19" t="str">
        <x:v>-</x:v>
      </x:c>
      <x:c r="AA74" s="19" t="str">
        <x:v>-</x:v>
      </x:c>
      <x:c r="AB74" s="19" t="str">
        <x:v>ACTIVE/RECORDED</x:v>
      </x:c>
      <x:c r="AC74" s="19" t="str">
        <x:v>UPS Renutron 3 KVA Online UPS, 3KVA/72 V DC Sr. No. C1808262 Renutron</x:v>
      </x:c>
    </x:row>
    <x:row r="75" ht="34" customHeight="1">
      <x:c r="A75" s="19" t="str">
        <x:v>REC0071</x:v>
      </x:c>
      <x:c r="B75" s="19" t="str">
        <x:v>BAT0071</x:v>
      </x:c>
      <x:c r="C75" s="19" t="str">
        <x:v>UPS.pdf</x:v>
      </x:c>
      <x:c r="D75" s="19" t="n">
        <x:v>4</x:v>
      </x:c>
      <x:c r="E75" s="19" t="str">
        <x:v>LAB004</x:v>
      </x:c>
      <x:c r="F75" s="19" t="str">
        <x:v>D-04</x:v>
      </x:c>
      <x:c r="G75" s="19" t="str">
        <x:v>Application Development Tool Laboratory</x:v>
      </x:c>
      <x:c r="H75" s="19" t="str">
        <x:v>008</x:v>
      </x:c>
      <x:c r="I75" s="19" t="str">
        <x:v>CAT04</x:v>
      </x:c>
      <x:c r="J75" s="19" t="str">
        <x:v>UPS</x:v>
      </x:c>
      <x:c r="K75" s="19" t="str"/>
      <x:c r="L75" s="19" t="str">
        <x:v>4 KVA Online UPS</x:v>
      </x:c>
      <x:c r="M75" s="19" t="str">
        <x:v>MOD052</x:v>
      </x:c>
      <x:c r="N75" s="19" t="str">
        <x:v>1 (1)</x:v>
      </x:c>
      <x:c r="O75" s="19" t="n">
        <x:v>1</x:v>
      </x:c>
      <x:c r="P75" s="19" t="n">
        <x:v>1</x:v>
      </x:c>
      <x:c r="Q75" s="19" t="n">
        <x:v>1</x:v>
      </x:c>
      <x:c r="R75" s="19" t="n">
        <x:v>1</x:v>
      </x:c>
      <x:c r="S75" s="26" t="n">
        <x:v>78000</x:v>
      </x:c>
      <x:c r="T75" s="26" t="n">
        <x:v>78000</x:v>
      </x:c>
      <x:c r="U75" s="19" t="str">
        <x:v>SUP007</x:v>
      </x:c>
      <x:c r="V75" s="19" t="str">
        <x:v>Veetrag Computers Private Ltd.</x:v>
      </x:c>
      <x:c r="W75" s="19" t="str">
        <x:v>Veetrag Computers, Shree Hanuman Pani Purvatha Building, A/P- Vdhagaon, Tal- Shirol, Dist- Kolhapur Pin- 416135</x:v>
      </x:c>
      <x:c r="X75" s="28" t="n">
        <x:v>38576</x:v>
      </x:c>
      <x:c r="Y75" s="19" t="str">
        <x:v>AUG-051</x:v>
      </x:c>
      <x:c r="Z75" s="19" t="str">
        <x:v>-</x:v>
      </x:c>
      <x:c r="AA75" s="19" t="str">
        <x:v>-</x:v>
      </x:c>
      <x:c r="AB75" s="19" t="str">
        <x:v>ACTIVE/RECORDED</x:v>
      </x:c>
      <x:c r="AC75" s="19" t="str">
        <x:v>4 KVA Online, Input Voltage 230V, Backup Upto 90 Min, Batteries 3X12V, 7 AH Sealed Lead Acid Maintenance Free Batteries</x:v>
      </x:c>
    </x:row>
    <x:row r="76" ht="34" customHeight="1">
      <x:c r="A76" s="19" t="str">
        <x:v>REC0072</x:v>
      </x:c>
      <x:c r="B76" s="19" t="str">
        <x:v>BAT0072</x:v>
      </x:c>
      <x:c r="C76" s="19" t="str">
        <x:v>UPS.pdf</x:v>
      </x:c>
      <x:c r="D76" s="19" t="n">
        <x:v>4</x:v>
      </x:c>
      <x:c r="E76" s="19" t="str">
        <x:v>LAB004</x:v>
      </x:c>
      <x:c r="F76" s="19" t="str">
        <x:v>D-04</x:v>
      </x:c>
      <x:c r="G76" s="19" t="str">
        <x:v>Application Development Tool Laboratory</x:v>
      </x:c>
      <x:c r="H76" s="19" t="str">
        <x:v>030</x:v>
      </x:c>
      <x:c r="I76" s="19" t="str">
        <x:v>CAT04</x:v>
      </x:c>
      <x:c r="J76" s="19" t="str">
        <x:v>UPS</x:v>
      </x:c>
      <x:c r="K76" s="19" t="str">
        <x:v>Renutron</x:v>
      </x:c>
      <x:c r="L76" s="19" t="str">
        <x:v>6 KVA Online UPS</x:v>
      </x:c>
      <x:c r="M76" s="19" t="str">
        <x:v>MOD048</x:v>
      </x:c>
      <x:c r="N76" s="19" t="str">
        <x:v>1 (1)</x:v>
      </x:c>
      <x:c r="O76" s="19" t="n">
        <x:v>1</x:v>
      </x:c>
      <x:c r="P76" s="19" t="n">
        <x:v>1</x:v>
      </x:c>
      <x:c r="Q76" s="19" t="n">
        <x:v>1</x:v>
      </x:c>
      <x:c r="R76" s="19" t="n">
        <x:v>1</x:v>
      </x:c>
      <x:c r="S76" s="26" t="n">
        <x:v>80500</x:v>
      </x:c>
      <x:c r="T76" s="26" t="n">
        <x:v>80500</x:v>
      </x:c>
      <x:c r="U76" s="19" t="str">
        <x:v>SUP007</x:v>
      </x:c>
      <x:c r="V76" s="19" t="str">
        <x:v>Veetrag Computers Private Ltd.</x:v>
      </x:c>
      <x:c r="W76" s="19" t="str">
        <x:v>Veetrag Computers Private Limited S. No. 219, opp. Galaxy Cable, MIDC Kupwad Block. Sangli- 416410 Dist. Sangli Maharashtra</x:v>
      </x:c>
      <x:c r="X76" s="28" t="n">
        <x:v>43021</x:v>
      </x:c>
      <x:c r="Y76" s="19" t="str">
        <x:v>VCPL-2/1718/1505</x:v>
      </x:c>
      <x:c r="Z76" s="19" t="str">
        <x:v>-</x:v>
      </x:c>
      <x:c r="AA76" s="19" t="str">
        <x:v>-</x:v>
      </x:c>
      <x:c r="AB76" s="19" t="str">
        <x:v>ACTIVE/RECORDED</x:v>
      </x:c>
      <x:c r="AC76"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77" ht="34" customHeight="1">
      <x:c r="A77" s="19" t="str">
        <x:v>REC0073</x:v>
      </x:c>
      <x:c r="B77" s="19" t="str">
        <x:v>BAT0073</x:v>
      </x:c>
      <x:c r="C77" s="19" t="str">
        <x:v>UPS.pdf</x:v>
      </x:c>
      <x:c r="D77" s="19" t="n">
        <x:v>5</x:v>
      </x:c>
      <x:c r="E77" s="19" t="str">
        <x:v>LAB005</x:v>
      </x:c>
      <x:c r="F77" s="19" t="str">
        <x:v>D-05</x:v>
      </x:c>
      <x:c r="G77" s="19" t="str">
        <x:v>Operating System Laboratory</x:v>
      </x:c>
      <x:c r="H77" s="19" t="str">
        <x:v>012</x:v>
      </x:c>
      <x:c r="I77" s="19" t="str">
        <x:v>CAT04</x:v>
      </x:c>
      <x:c r="J77" s="19" t="str">
        <x:v>UPS</x:v>
      </x:c>
      <x:c r="K77" s="19" t="str">
        <x:v>Liebert</x:v>
      </x:c>
      <x:c r="L77" s="19" t="str">
        <x:v>Super 420D</x:v>
      </x:c>
      <x:c r="M77" s="19" t="str">
        <x:v>MOD053</x:v>
      </x:c>
      <x:c r="N77" s="19" t="str">
        <x:v>1 (1)</x:v>
      </x:c>
      <x:c r="O77" s="19" t="n">
        <x:v>1</x:v>
      </x:c>
      <x:c r="P77" s="19" t="n">
        <x:v>1</x:v>
      </x:c>
      <x:c r="Q77" s="19" t="n">
        <x:v>1</x:v>
      </x:c>
      <x:c r="R77" s="19" t="n">
        <x:v>1</x:v>
      </x:c>
      <x:c r="S77" s="26" t="n">
        <x:v>332800</x:v>
      </x:c>
      <x:c r="T77" s="26" t="n">
        <x:v>332800</x:v>
      </x:c>
      <x:c r="U77" s="19" t="str">
        <x:v>SUP006</x:v>
      </x:c>
      <x:c r="V77" s="19" t="str">
        <x:v>Prasa Sales P. Ltd.</x:v>
      </x:c>
      <x:c r="W77" s="19" t="str">
        <x:v>Prasa Sales P. Ltd., (06-07) Survey No. 271/8 A/p Bhugaon, Tal- Mulshi, Dist- Pune</x:v>
      </x:c>
      <x:c r="X77" s="28" t="n">
        <x:v>39172</x:v>
      </x:c>
      <x:c r="Y77" s="19" t="str"/>
      <x:c r="Z77" s="19" t="str">
        <x:v>-</x:v>
      </x:c>
      <x:c r="AA77" s="19" t="str">
        <x:v>-</x:v>
      </x:c>
      <x:c r="AB77" s="19" t="str">
        <x:v>ACTIVE/RECORDED</x:v>
      </x:c>
      <x:c r="AC77" s="19" t="str">
        <x:v>S420D, LIBERT UPS, Model Super 420D, 20 KVA, Input 415V, 3 Phase (IGBT Rectifier) Output 230V, 1 Phase, 12V,100 AH HBL (Triumph- HP) Battery Rating 12 V, 100 AH with Accessories and Hardware Libert</x:v>
      </x:c>
    </x:row>
    <x:row r="78" ht="34" customHeight="1">
      <x:c r="A78" s="19" t="str">
        <x:v>REC0074</x:v>
      </x:c>
      <x:c r="B78" s="19" t="str">
        <x:v>BAT0074</x:v>
      </x:c>
      <x:c r="C78" s="19" t="str">
        <x:v>UPS.pdf</x:v>
      </x:c>
      <x:c r="D78" s="19" t="n">
        <x:v>5</x:v>
      </x:c>
      <x:c r="E78" s="19" t="str">
        <x:v>LAB005</x:v>
      </x:c>
      <x:c r="F78" s="19" t="str">
        <x:v>D-05</x:v>
      </x:c>
      <x:c r="G78" s="19" t="str">
        <x:v>Operating System Laboratory</x:v>
      </x:c>
      <x:c r="H78" s="19" t="str">
        <x:v>031</x:v>
      </x:c>
      <x:c r="I78" s="19" t="str">
        <x:v>CAT04</x:v>
      </x:c>
      <x:c r="J78" s="19" t="str">
        <x:v>UPS</x:v>
      </x:c>
      <x:c r="K78" s="19" t="str">
        <x:v>Renutron</x:v>
      </x:c>
      <x:c r="L78" s="19" t="str">
        <x:v>6 KVA Online UPS</x:v>
      </x:c>
      <x:c r="M78" s="19" t="str">
        <x:v>MOD048</x:v>
      </x:c>
      <x:c r="N78" s="19" t="str">
        <x:v>1 (1)</x:v>
      </x:c>
      <x:c r="O78" s="19" t="n">
        <x:v>1</x:v>
      </x:c>
      <x:c r="P78" s="19" t="n">
        <x:v>1</x:v>
      </x:c>
      <x:c r="Q78" s="19" t="n">
        <x:v>1</x:v>
      </x:c>
      <x:c r="R78" s="19" t="n">
        <x:v>1</x:v>
      </x:c>
      <x:c r="S78" s="26" t="n">
        <x:v>80500</x:v>
      </x:c>
      <x:c r="T78" s="26" t="n">
        <x:v>80500</x:v>
      </x:c>
      <x:c r="U78" s="19" t="str">
        <x:v>SUP007</x:v>
      </x:c>
      <x:c r="V78" s="19" t="str">
        <x:v>Veetrag Computers Private Ltd.</x:v>
      </x:c>
      <x:c r="W78" s="19" t="str">
        <x:v>Veetrag Computers Private Limited S. No. 219, opp. Galaxy Cable, MIDC Kupwad Block. Sangli- 416410 Dist. Sangli Maharashtra</x:v>
      </x:c>
      <x:c r="X78" s="28" t="n">
        <x:v>43021</x:v>
      </x:c>
      <x:c r="Y78" s="19" t="str">
        <x:v>VCPL-2/1718/1505</x:v>
      </x:c>
      <x:c r="Z78" s="19" t="str">
        <x:v>-</x:v>
      </x:c>
      <x:c r="AA78" s="19" t="str">
        <x:v>-</x:v>
      </x:c>
      <x:c r="AB78" s="19" t="str">
        <x:v>ACTIVE/RECORDED</x:v>
      </x:c>
      <x:c r="AC78"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Warranty: 3Years on Site By RENUTRON Sr. No 1710086 ( Including CGST &amp; SGST 18 % ) Renutron</x:v>
      </x:c>
    </x:row>
    <x:row r="79" ht="34" customHeight="1">
      <x:c r="A79" s="19" t="str">
        <x:v>REC0075</x:v>
      </x:c>
      <x:c r="B79" s="19" t="str">
        <x:v>BAT0075</x:v>
      </x:c>
      <x:c r="C79" s="19" t="str">
        <x:v>UPS.pdf</x:v>
      </x:c>
      <x:c r="D79" s="19" t="n">
        <x:v>6</x:v>
      </x:c>
      <x:c r="E79" s="19" t="str">
        <x:v>LAB006</x:v>
      </x:c>
      <x:c r="F79" s="19" t="str">
        <x:v>D-06</x:v>
      </x:c>
      <x:c r="G79" s="19" t="str">
        <x:v>Web Development Tool Lab</x:v>
      </x:c>
      <x:c r="H79" s="19" t="str">
        <x:v>012</x:v>
      </x:c>
      <x:c r="I79" s="19" t="str">
        <x:v>CAT04</x:v>
      </x:c>
      <x:c r="J79" s="19" t="str">
        <x:v>UPS</x:v>
      </x:c>
      <x:c r="K79" s="19" t="str">
        <x:v>Liebert</x:v>
      </x:c>
      <x:c r="L79" s="19" t="str">
        <x:v>Powerbank 6000</x:v>
      </x:c>
      <x:c r="M79" s="19" t="str">
        <x:v>MOD047</x:v>
      </x:c>
      <x:c r="N79" s="19" t="str">
        <x:v>1 (1)</x:v>
      </x:c>
      <x:c r="O79" s="19" t="n">
        <x:v>1</x:v>
      </x:c>
      <x:c r="P79" s="19" t="n">
        <x:v>1</x:v>
      </x:c>
      <x:c r="Q79" s="19" t="n">
        <x:v>1</x:v>
      </x:c>
      <x:c r="R79" s="19" t="n">
        <x:v>1</x:v>
      </x:c>
      <x:c r="S79" s="26" t="n">
        <x:v>98000</x:v>
      </x:c>
      <x:c r="T79" s="26" t="n">
        <x:v>98000</x:v>
      </x:c>
      <x:c r="U79" s="19" t="str">
        <x:v>SUP006</x:v>
      </x:c>
      <x:c r="V79" s="19" t="str">
        <x:v>Prasa Sales P. Ltd.</x:v>
      </x:c>
      <x:c r="W79" s="19" t="str">
        <x:v>Prasa Sales P. Ltd., (06-07) Survey No. 271/8 A/p Bhugaon, Tal- Mulshi, Dist- Pune</x:v>
      </x:c>
      <x:c r="X79" s="28" t="n">
        <x:v>38957</x:v>
      </x:c>
      <x:c r="Y79" s="19" t="str">
        <x:v>I.N. 2006-270</x:v>
      </x:c>
      <x:c r="Z79" s="19" t="str">
        <x:v>-</x:v>
      </x:c>
      <x:c r="AA79" s="19" t="str">
        <x:v>-</x:v>
      </x:c>
      <x:c r="AB79" s="19" t="str">
        <x:v>ACTIVE/RECORDED</x:v>
      </x:c>
      <x:c r="AC79" s="19" t="str">
        <x:v>Online UPS: Online UPS Powerbank 6000 Libert Make Sr. No. 200630J1422 Libert</x:v>
      </x:c>
    </x:row>
    <x:row r="80" ht="34" customHeight="1">
      <x:c r="A80" s="19" t="str">
        <x:v>REC0076</x:v>
      </x:c>
      <x:c r="B80" s="19" t="str">
        <x:v>BAT0076</x:v>
      </x:c>
      <x:c r="C80" s="19" t="str">
        <x:v>UPS.pdf</x:v>
      </x:c>
      <x:c r="D80" s="19" t="n">
        <x:v>7</x:v>
      </x:c>
      <x:c r="E80" s="19" t="str">
        <x:v>LAB007</x:v>
      </x:c>
      <x:c r="F80" s="19" t="str">
        <x:v>D-07</x:v>
      </x:c>
      <x:c r="G80" s="19" t="str">
        <x:v>Network Laboratory</x:v>
      </x:c>
      <x:c r="H80" s="19" t="str">
        <x:v>006</x:v>
      </x:c>
      <x:c r="I80" s="19" t="str">
        <x:v>CAT04</x:v>
      </x:c>
      <x:c r="J80" s="19" t="str">
        <x:v>UPS</x:v>
      </x:c>
      <x:c r="K80" s="19" t="str">
        <x:v>Renutron</x:v>
      </x:c>
      <x:c r="L80" s="19" t="str">
        <x:v>3 KVA Online UPS</x:v>
      </x:c>
      <x:c r="M80" s="19" t="str">
        <x:v>MOD054</x:v>
      </x:c>
      <x:c r="N80" s="19" t="str">
        <x:v>1 (1)</x:v>
      </x:c>
      <x:c r="O80" s="19" t="n">
        <x:v>1</x:v>
      </x:c>
      <x:c r="P80" s="19" t="n">
        <x:v>1</x:v>
      </x:c>
      <x:c r="Q80" s="19" t="n">
        <x:v>1</x:v>
      </x:c>
      <x:c r="R80" s="19" t="n">
        <x:v>1</x:v>
      </x:c>
      <x:c r="S80" s="26" t="n">
        <x:v>63000</x:v>
      </x:c>
      <x:c r="T80" s="26" t="n">
        <x:v>63000</x:v>
      </x:c>
      <x:c r="U80" s="19" t="str">
        <x:v>SUP007</x:v>
      </x:c>
      <x:c r="V80" s="19" t="str">
        <x:v>Veetrag Computers Private Ltd.</x:v>
      </x:c>
      <x:c r="W80" s="19" t="str">
        <x:v>"""Veetrag Computers, Shree Hanuman Pani Purvatha Building, A/P- udgaon, Tal- Shirol, Dist- Kolhapur Pin- 416134"""</x:v>
      </x:c>
      <x:c r="X80" s="28" t="n">
        <x:v>41543</x:v>
      </x:c>
      <x:c r="Y80" s="19" t="str">
        <x:v>SUD-09/1314/0648</x:v>
      </x:c>
      <x:c r="Z80" s="19" t="str">
        <x:v>-</x:v>
      </x:c>
      <x:c r="AA80" s="19" t="str">
        <x:v>- ok</x:v>
      </x:c>
      <x:c r="AB80" s="19" t="str">
        <x:v>OK</x:v>
      </x:c>
      <x:c r="AC80" s="19" t="str">
        <x:v>Renutron 3 KVA Online Capacity: 3 KVA/72 V DC, Pure Sinewave Mocrocontroller based with build in isolation Transformer, O/p Power factor 0.8, I/P- 150-300 V AC Warranty- 3 Years Renutron</x:v>
      </x:c>
    </x:row>
    <x:row r="81" ht="34" customHeight="1">
      <x:c r="A81" s="19" t="str">
        <x:v>REC0077</x:v>
      </x:c>
      <x:c r="B81" s="19" t="str">
        <x:v>BAT0077</x:v>
      </x:c>
      <x:c r="C81" s="19" t="str">
        <x:v>UPS.pdf</x:v>
      </x:c>
      <x:c r="D81" s="19" t="n">
        <x:v>7</x:v>
      </x:c>
      <x:c r="E81" s="19" t="str">
        <x:v>LAB007</x:v>
      </x:c>
      <x:c r="F81" s="19" t="str">
        <x:v>D-07</x:v>
      </x:c>
      <x:c r="G81" s="19" t="str">
        <x:v>Network Laboratory</x:v>
      </x:c>
      <x:c r="H81" s="19" t="str">
        <x:v>008</x:v>
      </x:c>
      <x:c r="I81" s="19" t="str">
        <x:v>CAT04</x:v>
      </x:c>
      <x:c r="J81" s="19" t="str">
        <x:v>UPS</x:v>
      </x:c>
      <x:c r="K81" s="19" t="str">
        <x:v>Renutron</x:v>
      </x:c>
      <x:c r="L81" s="19" t="str">
        <x:v>6 KVA Online UPS</x:v>
      </x:c>
      <x:c r="M81" s="19" t="str">
        <x:v>MOD055</x:v>
      </x:c>
      <x:c r="N81" s="19" t="str">
        <x:v>1 (1)</x:v>
      </x:c>
      <x:c r="O81" s="19" t="n">
        <x:v>1</x:v>
      </x:c>
      <x:c r="P81" s="19" t="n">
        <x:v>1</x:v>
      </x:c>
      <x:c r="Q81" s="19" t="n">
        <x:v>1</x:v>
      </x:c>
      <x:c r="R81" s="19" t="n">
        <x:v>1</x:v>
      </x:c>
      <x:c r="S81" s="26" t="n">
        <x:v>150900</x:v>
      </x:c>
      <x:c r="T81" s="26" t="n">
        <x:v>150900</x:v>
      </x:c>
      <x:c r="U81" s="19" t="str">
        <x:v>SUP007</x:v>
      </x:c>
      <x:c r="V81" s="19" t="str">
        <x:v>Veetrag Computers Private Ltd.</x:v>
      </x:c>
      <x:c r="W81" s="19" t="str">
        <x:v>Veetrag Computers Private Limited S. No. 219, opp. Galaxy Cable, MIDC Kupwad Block. Sangli- 416410 Dist. Sangli Maharashtra</x:v>
      </x:c>
      <x:c r="X81" s="28" t="n">
        <x:v>42424</x:v>
      </x:c>
      <x:c r="Y81" s="19" t="str">
        <x:v>DC/SUD02/01841</x:v>
      </x:c>
      <x:c r="Z81" s="19" t="str">
        <x:v>-</x:v>
      </x:c>
      <x:c r="AA81" s="19" t="str">
        <x:v>-</x:v>
      </x:c>
      <x:c r="AB81" s="19" t="str">
        <x:v>ACTIVE/RECORDED</x:v>
      </x:c>
      <x:c r="AC81" s="19" t="str">
        <x:v>Renutron 6 KVA Online Capacity: 6 KVA/144 V DC, Pure Sinewave IGBT based PWM technology Dual Micro controller based with LCD Pannel Built in isolation Transformer, IGBT based I/p Power factor conrrected rectifier,O/P Factor 0.8 wider I?P range 150-280 V Heavy Duty Charger 15 AMP , Renu Urja tubular Stationary Battery 12 Volt 80 AH Qty. 12 Warranty- 3 Years on site &amp; 1 Year Battery Maintainance 4 visit by Renutron Renutron</x:v>
      </x:c>
    </x:row>
    <x:row r="82" ht="34" customHeight="1">
      <x:c r="A82" s="19" t="str">
        <x:v>REC0078</x:v>
      </x:c>
      <x:c r="B82" s="19" t="str">
        <x:v>BAT0078</x:v>
      </x:c>
      <x:c r="C82" s="19" t="str">
        <x:v>UPS.pdf</x:v>
      </x:c>
      <x:c r="D82" s="19" t="n">
        <x:v>8</x:v>
      </x:c>
      <x:c r="E82" s="19" t="str">
        <x:v>LAB007</x:v>
      </x:c>
      <x:c r="F82" s="19" t="str">
        <x:v>D-07</x:v>
      </x:c>
      <x:c r="G82" s="19" t="str">
        <x:v>Network Laboratory</x:v>
      </x:c>
      <x:c r="H82" s="19" t="str">
        <x:v>023</x:v>
      </x:c>
      <x:c r="I82" s="19" t="str">
        <x:v>CAT04</x:v>
      </x:c>
      <x:c r="J82" s="19" t="str">
        <x:v>UPS</x:v>
      </x:c>
      <x:c r="K82" s="19" t="str">
        <x:v>Renutron</x:v>
      </x:c>
      <x:c r="L82" s="19" t="str">
        <x:v>6 KVA Online UPS</x:v>
      </x:c>
      <x:c r="M82" s="19" t="str">
        <x:v>MOD048</x:v>
      </x:c>
      <x:c r="N82" s="19" t="str">
        <x:v>1 (1)</x:v>
      </x:c>
      <x:c r="O82" s="19" t="n">
        <x:v>1</x:v>
      </x:c>
      <x:c r="P82" s="19" t="n">
        <x:v>1</x:v>
      </x:c>
      <x:c r="Q82" s="19" t="n">
        <x:v>1</x:v>
      </x:c>
      <x:c r="R82" s="19" t="n">
        <x:v>1</x:v>
      </x:c>
      <x:c r="S82" s="26" t="n">
        <x:v>90799</x:v>
      </x:c>
      <x:c r="T82" s="26" t="n">
        <x:v>90799</x:v>
      </x:c>
      <x:c r="U82" s="19" t="str">
        <x:v>SUP007</x:v>
      </x:c>
      <x:c r="V82" s="19" t="str">
        <x:v>Veetrag Computers Private Ltd.</x:v>
      </x:c>
      <x:c r="W82" s="19" t="str">
        <x:v>Veetrag Computers Private Ltd. Plot No.7. Parshwanath Nagar, Near Jain Temple, Kupwad MIDC Road,Sangli-416415, Maharashtra, India.CIN-U51909PN20 14PTC152370, GSTIN NO. 27AAECV8865D1ZY</x:v>
      </x:c>
      <x:c r="X82" s="28" t="n">
        <x:v>44278</x:v>
      </x:c>
      <x:c r="Y82" s="19" t="str">
        <x:v>VCPL-2/2021/3962</x:v>
      </x:c>
      <x:c r="Z82" s="19" t="str">
        <x:v>-</x:v>
      </x:c>
      <x:c r="AA82" s="19" t="str">
        <x:v>-</x:v>
      </x:c>
      <x:c r="AB82" s="19" t="str">
        <x:v>ACTIVE/RECORDED</x:v>
      </x:c>
      <x:c r="AC82" s="19" t="str">
        <x:v>UPS WITH RACK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D2103010 ( Including CGST &amp; SGST 18 % ) Renutron</x:v>
      </x:c>
    </x:row>
    <x:row r="83" ht="34" customHeight="1">
      <x:c r="A83" s="19" t="str">
        <x:v>REC0079</x:v>
      </x:c>
      <x:c r="B83" s="19" t="str">
        <x:v>BAT0079</x:v>
      </x:c>
      <x:c r="C83" s="19" t="str">
        <x:v>UPS.pdf</x:v>
      </x:c>
      <x:c r="D83" s="19" t="n">
        <x:v>9</x:v>
      </x:c>
      <x:c r="E83" s="19" t="str">
        <x:v>LAB008</x:v>
      </x:c>
      <x:c r="F83" s="19" t="str">
        <x:v>D-08</x:v>
      </x:c>
      <x:c r="G83" s="19" t="str">
        <x:v>Artificial Intelligence &amp; Machine Learning Laboratory</x:v>
      </x:c>
      <x:c r="H83" s="19" t="str">
        <x:v>019</x:v>
      </x:c>
      <x:c r="I83" s="19" t="str">
        <x:v>CAT04</x:v>
      </x:c>
      <x:c r="J83" s="19" t="str">
        <x:v>UPS</x:v>
      </x:c>
      <x:c r="K83" s="19" t="str">
        <x:v>Renutron</x:v>
      </x:c>
      <x:c r="L83" s="19" t="str">
        <x:v>6 KVA Online UPS</x:v>
      </x:c>
      <x:c r="M83" s="19" t="str">
        <x:v>MOD048</x:v>
      </x:c>
      <x:c r="N83" s="19" t="str">
        <x:v>1 (1)</x:v>
      </x:c>
      <x:c r="O83" s="19" t="n">
        <x:v>1</x:v>
      </x:c>
      <x:c r="P83" s="19" t="n">
        <x:v>1</x:v>
      </x:c>
      <x:c r="Q83" s="19" t="n">
        <x:v>1</x:v>
      </x:c>
      <x:c r="R83" s="19" t="n">
        <x:v>1</x:v>
      </x:c>
      <x:c r="S83" s="26" t="n">
        <x:v>81000</x:v>
      </x:c>
      <x:c r="T83" s="26" t="n">
        <x:v>81000</x:v>
      </x:c>
      <x:c r="U83" s="19" t="str">
        <x:v>SUP007</x:v>
      </x:c>
      <x:c r="V83" s="19" t="str">
        <x:v>Veetrag Computers Private Ltd.</x:v>
      </x:c>
      <x:c r="W83" s="19" t="str">
        <x:v>Veetrag Computers Private Ltd. Plot No.7. Parshwanath Nagar, Near Jain Temple, Kupwad MIDC Road,Sangli-416415, Maharashtra, India.CIN-U51909PN20 14PTC152370, GSTIN NO. 27AAECV8865D1ZY</x:v>
      </x:c>
      <x:c r="X83" s="28" t="n">
        <x:v>43887</x:v>
      </x:c>
      <x:c r="Y83" s="19" t="str">
        <x:v>VCPL-2/1920/4325</x:v>
      </x:c>
      <x:c r="Z83" s="19" t="str">
        <x:v>-</x:v>
      </x:c>
      <x:c r="AA83" s="19" t="str">
        <x:v>-</x:v>
      </x:c>
      <x:c r="AB83" s="19" t="str">
        <x:v>ACTIVE/RECORDED</x:v>
      </x:c>
      <x:c r="AC83"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84" ht="34" customHeight="1">
      <x:c r="A84" s="19" t="str">
        <x:v>REC0080</x:v>
      </x:c>
      <x:c r="B84" s="19" t="str">
        <x:v>BAT0080</x:v>
      </x:c>
      <x:c r="C84" s="19" t="str">
        <x:v>UPS.pdf</x:v>
      </x:c>
      <x:c r="D84" s="19" t="n">
        <x:v>10</x:v>
      </x:c>
      <x:c r="E84" s="19" t="str">
        <x:v>LAB009</x:v>
      </x:c>
      <x:c r="F84" s="19" t="str">
        <x:v>D-09</x:v>
      </x:c>
      <x:c r="G84" s="19" t="str">
        <x:v>Apple Education Center Laboratory</x:v>
      </x:c>
      <x:c r="H84" s="19" t="str">
        <x:v>017</x:v>
      </x:c>
      <x:c r="I84" s="19" t="str">
        <x:v>CAT04</x:v>
      </x:c>
      <x:c r="J84" s="19" t="str">
        <x:v>UPS</x:v>
      </x:c>
      <x:c r="K84" s="19" t="str">
        <x:v>Renutron</x:v>
      </x:c>
      <x:c r="L84" s="19" t="str">
        <x:v>6 KVA Online UPS</x:v>
      </x:c>
      <x:c r="M84" s="19" t="str">
        <x:v>MOD048</x:v>
      </x:c>
      <x:c r="N84" s="19" t="str">
        <x:v>2 (2)</x:v>
      </x:c>
      <x:c r="O84" s="19" t="n">
        <x:v>2</x:v>
      </x:c>
      <x:c r="P84" s="19" t="n">
        <x:v>2</x:v>
      </x:c>
      <x:c r="Q84" s="19" t="n">
        <x:v>2</x:v>
      </x:c>
      <x:c r="R84" s="19" t="n">
        <x:v>2</x:v>
      </x:c>
      <x:c r="S84" s="26" t="n">
        <x:v>68400</x:v>
      </x:c>
      <x:c r="T84" s="26" t="n">
        <x:v>136800</x:v>
      </x:c>
      <x:c r="U84" s="19" t="str">
        <x:v>SUP007</x:v>
      </x:c>
      <x:c r="V84" s="19" t="str">
        <x:v>Veetrag Computers Private Ltd.</x:v>
      </x:c>
      <x:c r="W84" s="19" t="str">
        <x:v>Veetrag Computers Private Ltd. Plot No.7. Parshwanath Nagar, Near Jain Temple, Kupwad MIDC Road,Sangli-416415, Maharashtra, India.CIN-U51909PN20 14PTC152370, GSTIN NO. 27AAECV8865D1ZY</x:v>
      </x:c>
      <x:c r="X84" s="28" t="n">
        <x:v>45744</x:v>
      </x:c>
      <x:c r="Y84" s="19" t="str">
        <x:v>VCPL-2/2425/3942</x:v>
      </x:c>
      <x:c r="Z84" s="19" t="str">
        <x:v>-</x:v>
      </x:c>
      <x:c r="AA84" s="19" t="str">
        <x:v>-</x:v>
      </x:c>
      <x:c r="AB84" s="19" t="str">
        <x:v>ACTIVE/RECORDED</x:v>
      </x:c>
      <x:c r="AC84" s="19" t="str">
        <x:v>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E2503868,E2503869 ( Including CGST &amp; SGST 18 % ) RENUTRON</x:v>
      </x:c>
    </x:row>
    <x:row r="85" ht="34" customHeight="1">
      <x:c r="A85" s="19" t="str">
        <x:v>REC0081</x:v>
      </x:c>
      <x:c r="B85" s="19" t="str">
        <x:v>BAT0081</x:v>
      </x:c>
      <x:c r="C85" s="19" t="str">
        <x:v>UPS.pdf</x:v>
      </x:c>
      <x:c r="D85" s="19" t="n">
        <x:v>11</x:v>
      </x:c>
      <x:c r="E85" s="19" t="str">
        <x:v>LAB010</x:v>
      </x:c>
      <x:c r="F85" s="19" t="str">
        <x:v>D-10</x:v>
      </x:c>
      <x:c r="G85" s="19" t="str">
        <x:v>PG laboratory-1</x:v>
      </x:c>
      <x:c r="H85" s="19" t="str">
        <x:v>001</x:v>
      </x:c>
      <x:c r="I85" s="19" t="str">
        <x:v>CAT04</x:v>
      </x:c>
      <x:c r="J85" s="19" t="str">
        <x:v>UPS</x:v>
      </x:c>
      <x:c r="K85" s="19" t="str">
        <x:v>Renutron</x:v>
      </x:c>
      <x:c r="L85" s="19" t="str">
        <x:v>6 KVA Online UPS</x:v>
      </x:c>
      <x:c r="M85" s="19" t="str">
        <x:v>MOD048</x:v>
      </x:c>
      <x:c r="N85" s="19" t="str">
        <x:v>1 (1)</x:v>
      </x:c>
      <x:c r="O85" s="19" t="n">
        <x:v>1</x:v>
      </x:c>
      <x:c r="P85" s="19" t="n">
        <x:v>1</x:v>
      </x:c>
      <x:c r="Q85" s="19" t="n">
        <x:v>1</x:v>
      </x:c>
      <x:c r="R85" s="19" t="n">
        <x:v>1</x:v>
      </x:c>
      <x:c r="S85" s="26" t="n">
        <x:v>81000</x:v>
      </x:c>
      <x:c r="T85" s="26" t="n">
        <x:v>81000</x:v>
      </x:c>
      <x:c r="U85" s="19" t="str">
        <x:v>SUP007</x:v>
      </x:c>
      <x:c r="V85" s="19" t="str">
        <x:v>Veetrag Computers Private Ltd.</x:v>
      </x:c>
      <x:c r="W85" s="19" t="str">
        <x:v>Veetrag Computers Private Ltd. Plot No.7. Parshwanath Nagar, Near Jain Temple, Kupwad MIDC Road,Sangli-416415, Maharashtra, India.CIN-U51909PN20 14PTC152370, GSTIN NO. 27AAECV8865D1ZY</x:v>
      </x:c>
      <x:c r="X85" s="28" t="n">
        <x:v>43887</x:v>
      </x:c>
      <x:c r="Y85" s="19" t="str">
        <x:v>VCPL-2/1920/4323</x:v>
      </x:c>
      <x:c r="Z85" s="19" t="str">
        <x:v>-</x:v>
      </x:c>
      <x:c r="AA85" s="19" t="str">
        <x:v>- Received From RIT/CSE/D-09/02/5</x:v>
      </x:c>
      <x:c r="AB85" s="19" t="str">
        <x:v>TRANSFERRED_IN</x:v>
      </x:c>
      <x:c r="AC85"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J1"/>
  </x:mergeCells>
  <x:pageMargins left="0.7" right="0.7" top="0.75" bottom="0.75" header="0.3" footer="0.3"/>
  <x:tableParts count="1">
    <x:tablePart xmlns:r="http://schemas.openxmlformats.org/officeDocument/2006/relationships" r:id="Recc919bde4704ba4"/>
  </x:tableParts>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14" hidden="0" customWidth="1"/>
    <x:col min="4" max="4" width="55" hidden="0" customWidth="1"/>
  </x:cols>
  <x:sheetData>
    <x:row r="1">
      <x:c r="A1" s="5" t="str">
        <x:v>Normalized Supplier Master</x:v>
      </x:c>
    </x:row>
    <x:row r="2">
      <x:c r="A2" s="24" t="str">
        <x:v>Rows: 7</x:v>
      </x:c>
    </x:row>
    <x:row r="4">
      <x:c r="A4" s="18" t="str">
        <x:v>supplier_id</x:v>
      </x:c>
      <x:c r="B4" s="18" t="str">
        <x:v>supplier_name</x:v>
      </x:c>
      <x:c r="C4" s="18" t="str">
        <x:v>gstin</x:v>
      </x:c>
      <x:c r="D4" s="18" t="str">
        <x:v>address_raw</x:v>
      </x:c>
    </x:row>
    <x:row r="5">
      <x:c r="A5" s="19" t="str">
        <x:v>SUP001</x:v>
      </x:c>
      <x:c r="B5" s="19" t="str">
        <x:v>Aegis Infotech Private Limited</x:v>
      </x:c>
      <x:c r="C5" s="19" t="str"/>
      <x:c r="D5" s="19" t="str">
        <x:v>Aegis Infotech Private Limited 4th Floor, Tulsi Chamber 4/5-2, Old Palasia Greater Kailash Road, Indore-452018 GSTIN/UIN: 23AAFCA9725J1ZK State: MadhyaPradesh Code:23 E-Mail: info@aegisinfotech.co m</x:v>
      </x:c>
    </x:row>
    <x:row r="6">
      <x:c r="A6" s="19" t="str">
        <x:v>SUP002</x:v>
      </x:c>
      <x:c r="B6" s="19" t="str">
        <x:v>Hitachi System Micro Clinic Pvt. Ltd.</x:v>
      </x:c>
      <x:c r="C6" s="19" t="str"/>
      <x:c r="D6" s="19" t="str">
        <x:v>Hitachi System Micro Clinic Pvt. Ltd,C/O AMPM Logistics Pvt. Ltd, Gala No. 1 to 5 Building F" Globe Complex, Owali Village, Bhiwandi 421302</x:v>
      </x:c>
    </x:row>
    <x:row r="7">
      <x:c r="A7" s="19" t="str">
        <x:v>SUP003</x:v>
      </x:c>
      <x:c r="B7" s="19" t="str">
        <x:v>IT GLOB</x:v>
      </x:c>
      <x:c r="C7" s="19" t="str"/>
      <x:c r="D7" s="19" t="str">
        <x:v>"""IT GLOB, CS No.636, Patil Building Opp. Udgaon Bus stop, A/P- udgaon, Tal- Shirol, Dist- Kolhapur Pin- 416134</x:v>
      </x:c>
    </x:row>
    <x:row r="8">
      <x:c r="A8" s="19" t="str">
        <x:v>SUP004</x:v>
      </x:c>
      <x:c r="B8" s="19" t="str">
        <x:v>InfoSystem</x:v>
      </x:c>
      <x:c r="C8" s="19" t="str"/>
      <x:c r="D8" s="19" t="str">
        <x:v>InfoSystem, Regd. Office 2678 " A SMRUTI, Yallama Chowk, Islampur</x:v>
      </x:c>
    </x:row>
    <x:row r="9">
      <x:c r="A9" s="19" t="str">
        <x:v>SUP005</x:v>
      </x:c>
      <x:c r="B9" s="19" t="str">
        <x:v>Not recorded</x:v>
      </x:c>
      <x:c r="C9" s="19" t="str"/>
      <x:c r="D9" s="19" t="str"/>
    </x:row>
    <x:row r="10">
      <x:c r="A10" s="19" t="str">
        <x:v>SUP006</x:v>
      </x:c>
      <x:c r="B10" s="19" t="str">
        <x:v>Prasa Sales P. Ltd.</x:v>
      </x:c>
      <x:c r="C10" s="19" t="str"/>
      <x:c r="D10" s="19" t="str">
        <x:v>Prasa Sales P. Ltd., (06-07) Survey No. 271/8 A/p Bhugaon, Tal- Mulshi, Dist- Pune</x:v>
      </x:c>
    </x:row>
    <x:row r="11">
      <x:c r="A11" s="19" t="str">
        <x:v>SUP007</x:v>
      </x:c>
      <x:c r="B11" s="19" t="str">
        <x:v>Veetrag Computers Private Ltd.</x:v>
      </x:c>
      <x:c r="C11" s="19" t="str">
        <x:v>27AAECV8865D1ZY</x:v>
      </x:c>
      <x:c r="D11" s="19" t="str">
        <x:v>&amp;a mp;quot;&amp;a mp;amp;amp;quot;&amp;a mp;amp;amp;amp;am p;quot;Veetrag Computers, Shree Hanuman Pani Purvatha Building, A/P- udgaon, Tal- Shirol, Dist- Kolhapur Pin- 416134&amp;am p;amp;amp;quot;&amp; ;amp;amp;amp;amp;q uot;&amp;a mp;amp;quot;</x:v>
      </x:c>
    </x:row>
  </x:sheetData>
  <x:mergeCells>
    <x:mergeCell ref="A1:D1"/>
  </x:mergeCells>
  <x:pageMargins left="0.7" right="0.7" top="0.75" bottom="0.75" header="0.3" footer="0.3"/>
  <x:tableParts count="1">
    <x:tablePart xmlns:r="http://schemas.openxmlformats.org/officeDocument/2006/relationships" r:id="R4ac70fb8a3634b61"/>
  </x:tableParts>
</x:worksheet>
</file>

<file path=xl/worksheets/sheet6.xml><?xml version="1.0" encoding="utf-8"?>
<x:worksheet xmlns:x="http://schemas.openxmlformats.org/spreadsheetml/2006/main">
  <x:sheetFormatPr defaultRowHeight="15"/>
  <x:cols>
    <x:col min="1" max="1" width="13" hidden="0" customWidth="1"/>
    <x:col min="2" max="2" width="22" hidden="0" customWidth="1"/>
  </x:cols>
  <x:sheetData>
    <x:row r="1">
      <x:c r="A1" s="5" t="str">
        <x:v>Equipment Category Master</x:v>
      </x:c>
    </x:row>
    <x:row r="2">
      <x:c r="A2" s="24" t="str">
        <x:v>Rows: 7</x:v>
      </x:c>
    </x:row>
    <x:row r="4">
      <x:c r="A4" s="18" t="str">
        <x:v>category_id</x:v>
      </x:c>
      <x:c r="B4" s="18" t="str">
        <x:v>category_name</x:v>
      </x:c>
    </x:row>
    <x:row r="5">
      <x:c r="A5" s="19" t="str">
        <x:v>CAT01</x:v>
      </x:c>
      <x:c r="B5" s="19" t="str">
        <x:v>Computers</x:v>
      </x:c>
    </x:row>
    <x:row r="6">
      <x:c r="A6" s="19" t="str">
        <x:v>CAT02</x:v>
      </x:c>
      <x:c r="B6" s="19" t="str">
        <x:v>Laptop</x:v>
      </x:c>
    </x:row>
    <x:row r="7">
      <x:c r="A7" s="19" t="str">
        <x:v>CAT03</x:v>
      </x:c>
      <x:c r="B7" s="19" t="str">
        <x:v>Printer</x:v>
      </x:c>
    </x:row>
    <x:row r="8">
      <x:c r="A8" s="19" t="str">
        <x:v>CAT04</x:v>
      </x:c>
      <x:c r="B8" s="19" t="str">
        <x:v>UPS</x:v>
      </x:c>
    </x:row>
    <x:row r="9">
      <x:c r="A9" s="19" t="str">
        <x:v>CAT05</x:v>
      </x:c>
      <x:c r="B9" s="19" t="str">
        <x:v>Battery</x:v>
      </x:c>
    </x:row>
    <x:row r="10">
      <x:c r="A10" s="19" t="str">
        <x:v>CAT06</x:v>
      </x:c>
      <x:c r="B10" s="19" t="str">
        <x:v>LCD Projector</x:v>
      </x:c>
    </x:row>
    <x:row r="11">
      <x:c r="A11" s="19" t="str">
        <x:v>CAT07</x:v>
      </x:c>
      <x:c r="B11" s="19" t="str">
        <x:v>Interactive Panel</x:v>
      </x:c>
    </x:row>
  </x:sheetData>
  <x:mergeCells>
    <x:mergeCell ref="A1:B1"/>
  </x:mergeCells>
  <x:pageMargins left="0.7" right="0.7" top="0.75" bottom="0.75" header="0.3" footer="0.3"/>
  <x:tableParts count="1">
    <x:tablePart xmlns:r="http://schemas.openxmlformats.org/officeDocument/2006/relationships" r:id="R8576191533ce474c"/>
  </x:tableParts>
</x:worksheet>
</file>

<file path=xl/worksheets/sheet7.xml><?xml version="1.0" encoding="utf-8"?>
<x:worksheet xmlns:x="http://schemas.openxmlformats.org/spreadsheetml/2006/main">
  <x:sheetFormatPr defaultRowHeight="15"/>
  <x:cols>
    <x:col min="1" max="1" width="22" hidden="0" customWidth="1"/>
    <x:col min="2" max="2" width="13" hidden="0" customWidth="1"/>
    <x:col min="3" max="3" width="22" hidden="0" customWidth="1"/>
    <x:col min="4" max="4" width="14" hidden="0" customWidth="1"/>
    <x:col min="5" max="5" width="22" hidden="0" customWidth="1"/>
    <x:col min="6" max="6" width="55" hidden="0" customWidth="1"/>
  </x:cols>
  <x:sheetData>
    <x:row r="1">
      <x:c r="A1" s="5" t="str">
        <x:v>Normalized Equipment Model / Configuration Master</x:v>
      </x:c>
    </x:row>
    <x:row r="2">
      <x:c r="A2" s="24" t="str">
        <x:v>Rows: 55</x:v>
      </x:c>
    </x:row>
    <x:row r="4">
      <x:c r="A4" s="18" t="str">
        <x:v>model_id</x:v>
      </x:c>
      <x:c r="B4" s="18" t="str">
        <x:v>category_id</x:v>
      </x:c>
      <x:c r="C4" s="18" t="str">
        <x:v>category_name</x:v>
      </x:c>
      <x:c r="D4" s="18" t="str">
        <x:v>brand</x:v>
      </x:c>
      <x:c r="E4" s="18" t="str">
        <x:v>model_name</x:v>
      </x:c>
      <x:c r="F4" s="18" t="str">
        <x:v>configuration_summary</x:v>
      </x:c>
    </x:row>
    <x:row r="5">
      <x:c r="A5" s="19" t="str">
        <x:v>MOD001</x:v>
      </x:c>
      <x:c r="B5" s="19" t="str">
        <x:v>CAT05</x:v>
      </x:c>
      <x:c r="C5" s="19" t="str">
        <x:v>Battery</x:v>
      </x:c>
      <x:c r="D5" s="19" t="str">
        <x:v>HBL</x:v>
      </x:c>
      <x:c r="E5" s="19" t="str">
        <x:v>12V 80Ah Triumph-HP</x:v>
      </x:c>
      <x:c r="F5" s="19" t="str">
        <x:v>voltage_v=12; capacity_ah=80</x:v>
      </x:c>
    </x:row>
    <x:row r="6">
      <x:c r="A6" s="19" t="str">
        <x:v>MOD002</x:v>
      </x:c>
      <x:c r="B6" s="19" t="str">
        <x:v>CAT05</x:v>
      </x:c>
      <x:c r="C6" s="19" t="str">
        <x:v>Battery</x:v>
      </x:c>
      <x:c r="D6" s="19" t="str">
        <x:v>Quanta</x:v>
      </x:c>
      <x:c r="E6" s="19" t="str">
        <x:v>12V 42Ah SMF</x:v>
      </x:c>
      <x:c r="F6" s="19" t="str">
        <x:v>voltage_v=12; capacity_ah=42; battery_type=SMF</x:v>
      </x:c>
    </x:row>
    <x:row r="7">
      <x:c r="A7" s="19" t="str">
        <x:v>MOD003</x:v>
      </x:c>
      <x:c r="B7" s="19" t="str">
        <x:v>CAT05</x:v>
      </x:c>
      <x:c r="C7" s="19" t="str">
        <x:v>Battery</x:v>
      </x:c>
      <x:c r="D7" s="19" t="str">
        <x:v>Quanta</x:v>
      </x:c>
      <x:c r="E7" s="19" t="str">
        <x:v>12V 42Ah SMF</x:v>
      </x:c>
      <x:c r="F7" s="19" t="str">
        <x:v>voltage_v=12; capacity_ah=42</x:v>
      </x:c>
    </x:row>
    <x:row r="8">
      <x:c r="A8" s="19" t="str">
        <x:v>MOD004</x:v>
      </x:c>
      <x:c r="B8" s="19" t="str">
        <x:v>CAT01</x:v>
      </x:c>
      <x:c r="C8" s="19" t="str">
        <x:v>Computers</x:v>
      </x:c>
      <x:c r="D8" s="19" t="str">
        <x:v>Dell</x:v>
      </x:c>
      <x:c r="E8" s="19" t="str">
        <x:v>OptiPlex 3010</x:v>
      </x:c>
      <x:c r="F8" s="19" t="str">
        <x:v>processor=Intel Core i5 3470 Processor; ram_gb=4; monitor_size_in=18.5</x:v>
      </x:c>
    </x:row>
    <x:row r="9">
      <x:c r="A9" s="19" t="str">
        <x:v>MOD005</x:v>
      </x:c>
      <x:c r="B9" s="19" t="str">
        <x:v>CAT01</x:v>
      </x:c>
      <x:c r="C9" s="19" t="str">
        <x:v>Computers</x:v>
      </x:c>
      <x:c r="D9" s="19" t="str">
        <x:v>Dell</x:v>
      </x:c>
      <x:c r="E9" s="19" t="str">
        <x:v>OptiPlex 5090 SFF</x:v>
      </x:c>
      <x:c r="F9" s="19" t="str">
        <x:v>processor=Intel Core i7-11700; ram_gb=8; operating_system=Windows 10; monitor_size_in=19.0</x:v>
      </x:c>
    </x:row>
    <x:row r="10">
      <x:c r="A10" s="19" t="str">
        <x:v>MOD006</x:v>
      </x:c>
      <x:c r="B10" s="19" t="str">
        <x:v>CAT01</x:v>
      </x:c>
      <x:c r="C10" s="19" t="str">
        <x:v>Computers</x:v>
      </x:c>
      <x:c r="D10" s="19" t="str">
        <x:v>Dell</x:v>
      </x:c>
      <x:c r="E10" s="19" t="str">
        <x:v>OptiPlex 360</x:v>
      </x:c>
      <x:c r="F10" s="19" t="str">
        <x:v>processor=Intel Core 2 Deo E7500; ram_gb=2; storage=250 GB HDD</x:v>
      </x:c>
    </x:row>
    <x:row r="11">
      <x:c r="A11" s="19" t="str">
        <x:v>MOD007</x:v>
      </x:c>
      <x:c r="B11" s="19" t="str">
        <x:v>CAT01</x:v>
      </x:c>
      <x:c r="C11" s="19" t="str">
        <x:v>Computers</x:v>
      </x:c>
      <x:c r="D11" s="19" t="str">
        <x:v>Dell</x:v>
      </x:c>
      <x:c r="E11" s="19" t="str">
        <x:v>OptiPlex 3040</x:v>
      </x:c>
      <x:c r="F11" s="19" t="str"/>
    </x:row>
    <x:row r="12">
      <x:c r="A12" s="19" t="str">
        <x:v>MOD008</x:v>
      </x:c>
      <x:c r="B12" s="19" t="str">
        <x:v>CAT01</x:v>
      </x:c>
      <x:c r="C12" s="19" t="str">
        <x:v>Computers</x:v>
      </x:c>
      <x:c r="D12" s="19" t="str">
        <x:v>Dell</x:v>
      </x:c>
      <x:c r="E12" s="19" t="str">
        <x:v>OptiPlex 360</x:v>
      </x:c>
      <x:c r="F12" s="19" t="str">
        <x:v>storage=250 GB HDD</x:v>
      </x:c>
    </x:row>
    <x:row r="13">
      <x:c r="A13" s="19" t="str">
        <x:v>MOD009</x:v>
      </x:c>
      <x:c r="B13" s="19" t="str">
        <x:v>CAT01</x:v>
      </x:c>
      <x:c r="C13" s="19" t="str">
        <x:v>Computers</x:v>
      </x:c>
      <x:c r="D13" s="19" t="str">
        <x:v>Dell</x:v>
      </x:c>
      <x:c r="E13" s="19" t="str">
        <x:v>OptiPlex 3020 MT</x:v>
      </x:c>
      <x:c r="F13" s="19" t="str">
        <x:v>storage=500 GB HDD</x:v>
      </x:c>
    </x:row>
    <x:row r="14">
      <x:c r="A14" s="19" t="str">
        <x:v>MOD010</x:v>
      </x:c>
      <x:c r="B14" s="19" t="str">
        <x:v>CAT01</x:v>
      </x:c>
      <x:c r="C14" s="19" t="str">
        <x:v>Computers</x:v>
      </x:c>
      <x:c r="D14" s="19" t="str">
        <x:v>Dell</x:v>
      </x:c>
      <x:c r="E14" s="19" t="str">
        <x:v>OptiPlex 3060 MT</x:v>
      </x:c>
      <x:c r="F14" s="19" t="str">
        <x:v>processor=Intel Core i7 Processor-8700; operating_system=Windows 10; monitor_size_in=19.0</x:v>
      </x:c>
    </x:row>
    <x:row r="15">
      <x:c r="A15" s="19" t="str">
        <x:v>MOD011</x:v>
      </x:c>
      <x:c r="B15" s="19" t="str">
        <x:v>CAT01</x:v>
      </x:c>
      <x:c r="C15" s="19" t="str">
        <x:v>Computers</x:v>
      </x:c>
      <x:c r="D15" s="19" t="str">
        <x:v>Dell</x:v>
      </x:c>
      <x:c r="E15" s="19" t="str">
        <x:v>OptiPlex 3020 MT</x:v>
      </x:c>
      <x:c r="F15" s="19" t="str">
        <x:v>storage=500 GB HDD; operating_system=Linux</x:v>
      </x:c>
    </x:row>
    <x:row r="16">
      <x:c r="A16" s="19" t="str">
        <x:v>MOD012</x:v>
      </x:c>
      <x:c r="B16" s="19" t="str">
        <x:v>CAT01</x:v>
      </x:c>
      <x:c r="C16" s="19" t="str">
        <x:v>Computers</x:v>
      </x:c>
      <x:c r="D16" s="19" t="str">
        <x:v>Dell</x:v>
      </x:c>
      <x:c r="E16" s="19" t="str">
        <x:v>OptiPlex 3050 MT</x:v>
      </x:c>
      <x:c r="F16" s="19" t="str">
        <x:v>processor=Intel Core i7 Processor-770; operating_system=Windows 10; monitor_size_in=18.5</x:v>
      </x:c>
    </x:row>
    <x:row r="17">
      <x:c r="A17" s="19" t="str">
        <x:v>MOD013</x:v>
      </x:c>
      <x:c r="B17" s="19" t="str">
        <x:v>CAT01</x:v>
      </x:c>
      <x:c r="C17" s="19" t="str">
        <x:v>Computers</x:v>
      </x:c>
      <x:c r="D17" s="19" t="str">
        <x:v>Dell</x:v>
      </x:c>
      <x:c r="E17" s="19" t="str">
        <x:v>OptiPlex 3000 MT</x:v>
      </x:c>
      <x:c r="F17" s="19" t="str">
        <x:v>ram_gb=8; storage=512 GB SSD; operating_system=Windows 11</x:v>
      </x:c>
    </x:row>
    <x:row r="18">
      <x:c r="A18" s="19" t="str">
        <x:v>MOD014</x:v>
      </x:c>
      <x:c r="B18" s="19" t="str">
        <x:v>CAT01</x:v>
      </x:c>
      <x:c r="C18" s="19" t="str">
        <x:v>Computers</x:v>
      </x:c>
      <x:c r="D18" s="19" t="str">
        <x:v>Dell</x:v>
      </x:c>
      <x:c r="E18" s="19" t="str">
        <x:v>OptiPlex 3020 M</x:v>
      </x:c>
      <x:c r="F18" s="19" t="str">
        <x:v>operating_system=Windows 8</x:v>
      </x:c>
    </x:row>
    <x:row r="19">
      <x:c r="A19" s="19" t="str">
        <x:v>MOD015</x:v>
      </x:c>
      <x:c r="B19" s="19" t="str">
        <x:v>CAT01</x:v>
      </x:c>
      <x:c r="C19" s="19" t="str">
        <x:v>Computers</x:v>
      </x:c>
      <x:c r="D19" s="19" t="str">
        <x:v>Dell</x:v>
      </x:c>
      <x:c r="E19" s="19" t="str">
        <x:v>OptiPlex 5090 SFF</x:v>
      </x:c>
      <x:c r="F19" s="19" t="str">
        <x:v>processor=Intel Core i5-11500; ram_gb=8; operating_system=Windows 10; monitor_size_in=19.0</x:v>
      </x:c>
    </x:row>
    <x:row r="20">
      <x:c r="A20" s="19" t="str">
        <x:v>MOD016</x:v>
      </x:c>
      <x:c r="B20" s="19" t="str">
        <x:v>CAT01</x:v>
      </x:c>
      <x:c r="C20" s="19" t="str">
        <x:v>Computers</x:v>
      </x:c>
      <x:c r="D20" s="19" t="str">
        <x:v>Dell</x:v>
      </x:c>
      <x:c r="E20" s="19" t="str">
        <x:v>OptiPlex 980 MT</x:v>
      </x:c>
      <x:c r="F20" s="19" t="str"/>
    </x:row>
    <x:row r="21">
      <x:c r="A21" s="19" t="str">
        <x:v>MOD017</x:v>
      </x:c>
      <x:c r="B21" s="19" t="str">
        <x:v>CAT01</x:v>
      </x:c>
      <x:c r="C21" s="19" t="str">
        <x:v>Computers</x:v>
      </x:c>
      <x:c r="D21" s="19" t="str">
        <x:v>Dell</x:v>
      </x:c>
      <x:c r="E21" s="19" t="str">
        <x:v>OptiPlex 3050 M</x:v>
      </x:c>
      <x:c r="F21" s="19" t="str">
        <x:v>processor=Intel Core i7 Processor-770; operating_system=Windows 10; monitor_size_in=18.5</x:v>
      </x:c>
    </x:row>
    <x:row r="22">
      <x:c r="A22" s="19" t="str">
        <x:v>MOD018</x:v>
      </x:c>
      <x:c r="B22" s="19" t="str">
        <x:v>CAT01</x:v>
      </x:c>
      <x:c r="C22" s="19" t="str">
        <x:v>Computers</x:v>
      </x:c>
      <x:c r="D22" s="19" t="str">
        <x:v>Dell</x:v>
      </x:c>
      <x:c r="E22" s="19" t="str">
        <x:v>OptiPlex 3050 MT</x:v>
      </x:c>
      <x:c r="F22" s="19" t="str">
        <x:v>processor=Intel Core i5 Processor-7500; operating_system=Ubuntu Linux 16.04; monitor_size_in=19.0</x:v>
      </x:c>
    </x:row>
    <x:row r="23">
      <x:c r="A23" s="19" t="str">
        <x:v>MOD019</x:v>
      </x:c>
      <x:c r="B23" s="19" t="str">
        <x:v>CAT01</x:v>
      </x:c>
      <x:c r="C23" s="19" t="str">
        <x:v>Computers</x:v>
      </x:c>
      <x:c r="D23" s="19" t="str">
        <x:v>Dell</x:v>
      </x:c>
      <x:c r="E23" s="19" t="str">
        <x:v>OptiPlex 3080</x:v>
      </x:c>
      <x:c r="F23" s="19" t="str">
        <x:v>processor=Intel Core i5-10500; ram_gb=8; monitor_size_in=19.5</x:v>
      </x:c>
    </x:row>
    <x:row r="24">
      <x:c r="A24" s="19" t="str">
        <x:v>MOD020</x:v>
      </x:c>
      <x:c r="B24" s="19" t="str">
        <x:v>CAT01</x:v>
      </x:c>
      <x:c r="C24" s="19" t="str">
        <x:v>Computers</x:v>
      </x:c>
      <x:c r="D24" s="19" t="str">
        <x:v>Dell</x:v>
      </x:c>
      <x:c r="E24" s="19" t="str">
        <x:v>OptiPlex 5000 MT</x:v>
      </x:c>
      <x:c r="F24" s="19" t="str">
        <x:v>processor=Intel Core i7-12700; ram_gb=8; operating_system=Linux; monitor_size_in=20.0</x:v>
      </x:c>
    </x:row>
    <x:row r="25">
      <x:c r="A25" s="19" t="str">
        <x:v>MOD021</x:v>
      </x:c>
      <x:c r="B25" s="19" t="str">
        <x:v>CAT01</x:v>
      </x:c>
      <x:c r="C25" s="19" t="str">
        <x:v>Computers</x:v>
      </x:c>
      <x:c r="D25" s="19" t="str">
        <x:v>Dell</x:v>
      </x:c>
      <x:c r="E25" s="19" t="str">
        <x:v>OptiPlex 390</x:v>
      </x:c>
      <x:c r="F25" s="19" t="str">
        <x:v>processor=Intel Core i5-2400 Processor; ram_gb=4; storage=500 GB HDD</x:v>
      </x:c>
    </x:row>
    <x:row r="26">
      <x:c r="A26" s="19" t="str">
        <x:v>MOD022</x:v>
      </x:c>
      <x:c r="B26" s="19" t="str">
        <x:v>CAT01</x:v>
      </x:c>
      <x:c r="C26" s="19" t="str">
        <x:v>Computers</x:v>
      </x:c>
      <x:c r="D26" s="19" t="str">
        <x:v>Dell</x:v>
      </x:c>
      <x:c r="E26" s="19" t="str">
        <x:v>OptiPlex 3010</x:v>
      </x:c>
      <x:c r="F26" s="19" t="str">
        <x:v>ram_gb=4; monitor_size_in=18.5</x:v>
      </x:c>
    </x:row>
    <x:row r="27">
      <x:c r="A27" s="19" t="str">
        <x:v>MOD023</x:v>
      </x:c>
      <x:c r="B27" s="19" t="str">
        <x:v>CAT01</x:v>
      </x:c>
      <x:c r="C27" s="19" t="str">
        <x:v>Computers</x:v>
      </x:c>
      <x:c r="D27" s="19" t="str">
        <x:v>Dell</x:v>
      </x:c>
      <x:c r="E27" s="19" t="str">
        <x:v>OptiPlex 7000 SFF</x:v>
      </x:c>
      <x:c r="F27" s="19" t="str">
        <x:v>ram_gb=8; operating_system=Windows 11; monitor_size_in=19.5</x:v>
      </x:c>
    </x:row>
    <x:row r="28">
      <x:c r="A28" s="19" t="str">
        <x:v>MOD024</x:v>
      </x:c>
      <x:c r="B28" s="19" t="str">
        <x:v>CAT01</x:v>
      </x:c>
      <x:c r="C28" s="19" t="str">
        <x:v>Computers</x:v>
      </x:c>
      <x:c r="D28" s="19" t="str">
        <x:v>Dell</x:v>
      </x:c>
      <x:c r="E28" s="19" t="str">
        <x:v>OptiPlex 3020 M</x:v>
      </x:c>
      <x:c r="F28" s="19" t="str">
        <x:v>storage=500 GB HDD; operating_system=Linux</x:v>
      </x:c>
    </x:row>
    <x:row r="29">
      <x:c r="A29" s="19" t="str">
        <x:v>MOD025</x:v>
      </x:c>
      <x:c r="B29" s="19" t="str">
        <x:v>CAT01</x:v>
      </x:c>
      <x:c r="C29" s="19" t="str">
        <x:v>Computers</x:v>
      </x:c>
      <x:c r="D29" s="19" t="str">
        <x:v>Dell</x:v>
      </x:c>
      <x:c r="E29" s="19" t="str">
        <x:v>OptiPlex 7020 SFF</x:v>
      </x:c>
      <x:c r="F29" s="19" t="str">
        <x:v>processor=Intel Core i7 processor 14700; storage=512 GB SSD; operating_system=Windows 11</x:v>
      </x:c>
    </x:row>
    <x:row r="30">
      <x:c r="A30" s="19" t="str">
        <x:v>MOD026</x:v>
      </x:c>
      <x:c r="B30" s="19" t="str">
        <x:v>CAT01</x:v>
      </x:c>
      <x:c r="C30" s="19" t="str">
        <x:v>Computers</x:v>
      </x:c>
      <x:c r="D30" s="19" t="str">
        <x:v>Lenovo</x:v>
      </x:c>
      <x:c r="E30" s="19" t="str">
        <x:v>ThinkCentre M920</x:v>
      </x:c>
      <x:c r="F30" s="19" t="str">
        <x:v>processor=Intel Core i7-9700; ram_gb=4; storage=1 TB HDD; operating_system=Windows 10</x:v>
      </x:c>
    </x:row>
    <x:row r="31">
      <x:c r="A31" s="19" t="str">
        <x:v>MOD027</x:v>
      </x:c>
      <x:c r="B31" s="19" t="str">
        <x:v>CAT01</x:v>
      </x:c>
      <x:c r="C31" s="19" t="str">
        <x:v>Computers</x:v>
      </x:c>
      <x:c r="D31" s="19" t="str">
        <x:v>Apple</x:v>
      </x:c>
      <x:c r="E31" s="19" t="str">
        <x:v>Mac All-in-One Desktop 21.5"</x:v>
      </x:c>
      <x:c r="F31" s="19" t="str">
        <x:v>ram_gb=8; storage=256 GB SSD</x:v>
      </x:c>
    </x:row>
    <x:row r="32">
      <x:c r="A32" s="19" t="str">
        <x:v>MOD028</x:v>
      </x:c>
      <x:c r="B32" s="19" t="str">
        <x:v>CAT07</x:v>
      </x:c>
      <x:c r="C32" s="19" t="str">
        <x:v>Interactive Panel</x:v>
      </x:c>
      <x:c r="D32" s="19" t="str">
        <x:v>BenQ</x:v>
      </x:c>
      <x:c r="E32" s="19" t="str">
        <x:v>RE7504 75-inch</x:v>
      </x:c>
      <x:c r="F32" s="19" t="str">
        <x:v>screen_size_in=75; resolution=4K; android_version=13.0; ram_gb=8; storage=64 GB; touch_points=40; touch_accuracy_mm=1.0; type_c_power_w=65; pc_ram_gb=8</x:v>
      </x:c>
    </x:row>
    <x:row r="33">
      <x:c r="A33" s="19" t="str">
        <x:v>MOD029</x:v>
      </x:c>
      <x:c r="B33" s="19" t="str">
        <x:v>CAT07</x:v>
      </x:c>
      <x:c r="C33" s="19" t="str">
        <x:v>Interactive Panel</x:v>
      </x:c>
      <x:c r="D33" s="19" t="str"/>
      <x:c r="E33" s="19" t="str">
        <x:v>OPS PC - Core i5 12th Gen</x:v>
      </x:c>
      <x:c r="F33" s="19" t="str">
        <x:v>ram_gb=8; storage=512 SSD; pc_ram_gb=8; pc_storage=512 GB SSD</x:v>
      </x:c>
    </x:row>
    <x:row r="34">
      <x:c r="A34" s="19" t="str">
        <x:v>MOD030</x:v>
      </x:c>
      <x:c r="B34" s="19" t="str">
        <x:v>CAT02</x:v>
      </x:c>
      <x:c r="C34" s="19" t="str">
        <x:v>Laptop</x:v>
      </x:c>
      <x:c r="D34" s="19" t="str">
        <x:v>Dell</x:v>
      </x:c>
      <x:c r="E34" s="19" t="str">
        <x:v>Vostro</x:v>
      </x:c>
      <x:c r="F34" s="19" t="str"/>
    </x:row>
    <x:row r="35">
      <x:c r="A35" s="19" t="str">
        <x:v>MOD031</x:v>
      </x:c>
      <x:c r="B35" s="19" t="str">
        <x:v>CAT02</x:v>
      </x:c>
      <x:c r="C35" s="19" t="str">
        <x:v>Laptop</x:v>
      </x:c>
      <x:c r="D35" s="19" t="str">
        <x:v>Dell</x:v>
      </x:c>
      <x:c r="E35" s="19" t="str">
        <x:v>Vostro 3400</x:v>
      </x:c>
      <x:c r="F35" s="19" t="str">
        <x:v>processor=CORE I3 370</x:v>
      </x:c>
    </x:row>
    <x:row r="36">
      <x:c r="A36" s="19" t="str">
        <x:v>MOD032</x:v>
      </x:c>
      <x:c r="B36" s="19" t="str">
        <x:v>CAT02</x:v>
      </x:c>
      <x:c r="C36" s="19" t="str">
        <x:v>Laptop</x:v>
      </x:c>
      <x:c r="D36" s="19" t="str">
        <x:v>Toshiba</x:v>
      </x:c>
      <x:c r="E36" s="19" t="str">
        <x:v>Portage</x:v>
      </x:c>
      <x:c r="F36" s="19" t="str"/>
    </x:row>
    <x:row r="37">
      <x:c r="A37" s="19" t="str">
        <x:v>MOD033</x:v>
      </x:c>
      <x:c r="B37" s="19" t="str">
        <x:v>CAT02</x:v>
      </x:c>
      <x:c r="C37" s="19" t="str">
        <x:v>Laptop</x:v>
      </x:c>
      <x:c r="D37" s="19" t="str">
        <x:v>HP</x:v>
      </x:c>
      <x:c r="E37" s="19" t="str">
        <x:v>Envy 15 K 203 TX</x:v>
      </x:c>
      <x:c r="F37" s="19" t="str"/>
    </x:row>
    <x:row r="38">
      <x:c r="A38" s="19" t="str">
        <x:v>MOD034</x:v>
      </x:c>
      <x:c r="B38" s="19" t="str">
        <x:v>CAT06</x:v>
      </x:c>
      <x:c r="C38" s="19" t="str">
        <x:v>LCD Projector</x:v>
      </x:c>
      <x:c r="D38" s="19" t="str">
        <x:v>Samsung</x:v>
      </x:c>
      <x:c r="E38" s="19" t="str">
        <x:v>Flip 65 2.0 LH65WMRWBGCXXL</x:v>
      </x:c>
      <x:c r="F38" s="19" t="str"/>
    </x:row>
    <x:row r="39">
      <x:c r="A39" s="19" t="str">
        <x:v>MOD035</x:v>
      </x:c>
      <x:c r="B39" s="19" t="str">
        <x:v>CAT06</x:v>
      </x:c>
      <x:c r="C39" s="19" t="str">
        <x:v>LCD Projector</x:v>
      </x:c>
      <x:c r="D39" s="19" t="str">
        <x:v>Epson</x:v>
      </x:c>
      <x:c r="E39" s="19" t="str">
        <x:v>EB-E01 V11H971056</x:v>
      </x:c>
      <x:c r="F39" s="19" t="str">
        <x:v>technology=3LCD; brightness_lumens=3300</x:v>
      </x:c>
    </x:row>
    <x:row r="40">
      <x:c r="A40" s="19" t="str">
        <x:v>MOD036</x:v>
      </x:c>
      <x:c r="B40" s="19" t="str">
        <x:v>CAT06</x:v>
      </x:c>
      <x:c r="C40" s="19" t="str">
        <x:v>LCD Projector</x:v>
      </x:c>
      <x:c r="D40" s="19" t="str">
        <x:v>Epson</x:v>
      </x:c>
      <x:c r="E40" s="19" t="str">
        <x:v>EB-X03</x:v>
      </x:c>
      <x:c r="F40" s="19" t="str"/>
    </x:row>
    <x:row r="41">
      <x:c r="A41" s="19" t="str">
        <x:v>MOD037</x:v>
      </x:c>
      <x:c r="B41" s="19" t="str">
        <x:v>CAT06</x:v>
      </x:c>
      <x:c r="C41" s="19" t="str">
        <x:v>LCD Projector</x:v>
      </x:c>
      <x:c r="D41" s="19" t="str">
        <x:v>Epson</x:v>
      </x:c>
      <x:c r="E41" s="19" t="str">
        <x:v>EB-X12</x:v>
      </x:c>
      <x:c r="F41" s="19" t="str"/>
    </x:row>
    <x:row r="42">
      <x:c r="A42" s="19" t="str">
        <x:v>MOD038</x:v>
      </x:c>
      <x:c r="B42" s="19" t="str">
        <x:v>CAT06</x:v>
      </x:c>
      <x:c r="C42" s="19" t="str">
        <x:v>LCD Projector</x:v>
      </x:c>
      <x:c r="D42" s="19" t="str">
        <x:v>Epson</x:v>
      </x:c>
      <x:c r="E42" s="19" t="str">
        <x:v>EB-X05 V11H839056</x:v>
      </x:c>
      <x:c r="F42" s="19" t="str"/>
    </x:row>
    <x:row r="43">
      <x:c r="A43" s="19" t="str">
        <x:v>MOD039</x:v>
      </x:c>
      <x:c r="B43" s="19" t="str">
        <x:v>CAT06</x:v>
      </x:c>
      <x:c r="C43" s="19" t="str">
        <x:v>LCD Projector</x:v>
      </x:c>
      <x:c r="D43" s="19" t="str">
        <x:v>Epson</x:v>
      </x:c>
      <x:c r="E43" s="19" t="str">
        <x:v>EB-X10</x:v>
      </x:c>
      <x:c r="F43" s="19" t="str"/>
    </x:row>
    <x:row r="44">
      <x:c r="A44" s="19" t="str">
        <x:v>MOD040</x:v>
      </x:c>
      <x:c r="B44" s="19" t="str">
        <x:v>CAT03</x:v>
      </x:c>
      <x:c r="C44" s="19" t="str">
        <x:v>Printer</x:v>
      </x:c>
      <x:c r="D44" s="19" t="str">
        <x:v>HP</x:v>
      </x:c>
      <x:c r="E44" s="19" t="str">
        <x:v>Laserjet MFP 1136</x:v>
      </x:c>
      <x:c r="F44" s="19" t="str">
        <x:v>functions=Print/Scan/Copy; print_speed_ppm=15; resolution=1200 DPI; input_tray_sheets=150</x:v>
      </x:c>
    </x:row>
    <x:row r="45">
      <x:c r="A45" s="19" t="str">
        <x:v>MOD041</x:v>
      </x:c>
      <x:c r="B45" s="19" t="str">
        <x:v>CAT03</x:v>
      </x:c>
      <x:c r="C45" s="19" t="str">
        <x:v>Printer</x:v>
      </x:c>
      <x:c r="D45" s="19" t="str">
        <x:v>HP</x:v>
      </x:c>
      <x:c r="E45" s="19" t="str">
        <x:v>LJ 3020</x:v>
      </x:c>
      <x:c r="F45" s="19" t="str"/>
    </x:row>
    <x:row r="46">
      <x:c r="A46" s="19" t="str">
        <x:v>MOD042</x:v>
      </x:c>
      <x:c r="B46" s="19" t="str">
        <x:v>CAT03</x:v>
      </x:c>
      <x:c r="C46" s="19" t="str">
        <x:v>Printer</x:v>
      </x:c>
      <x:c r="D46" s="19" t="str">
        <x:v>Epson</x:v>
      </x:c>
      <x:c r="E46" s="19" t="str">
        <x:v>M200- C11CC83412</x:v>
      </x:c>
      <x:c r="F46" s="19" t="str">
        <x:v>functions=Print; print_speed_ppm=34; resolution=1400X720 DPI; connectivity=USB, Ethernet</x:v>
      </x:c>
    </x:row>
    <x:row r="47">
      <x:c r="A47" s="19" t="str">
        <x:v>MOD043</x:v>
      </x:c>
      <x:c r="B47" s="19" t="str">
        <x:v>CAT03</x:v>
      </x:c>
      <x:c r="C47" s="19" t="str">
        <x:v>Printer</x:v>
      </x:c>
      <x:c r="D47" s="19" t="str">
        <x:v>HP</x:v>
      </x:c>
      <x:c r="E47" s="19" t="str">
        <x:v>MFP 1005</x:v>
      </x:c>
      <x:c r="F47" s="19" t="str"/>
    </x:row>
    <x:row r="48">
      <x:c r="A48" s="19" t="str">
        <x:v>MOD044</x:v>
      </x:c>
      <x:c r="B48" s="19" t="str">
        <x:v>CAT03</x:v>
      </x:c>
      <x:c r="C48" s="19" t="str">
        <x:v>Printer</x:v>
      </x:c>
      <x:c r="D48" s="19" t="str">
        <x:v>HP</x:v>
      </x:c>
      <x:c r="E48" s="19" t="str">
        <x:v>Laserjet CP-1025</x:v>
      </x:c>
      <x:c r="F48" s="19" t="str"/>
    </x:row>
    <x:row r="49">
      <x:c r="A49" s="19" t="str">
        <x:v>MOD045</x:v>
      </x:c>
      <x:c r="B49" s="19" t="str">
        <x:v>CAT03</x:v>
      </x:c>
      <x:c r="C49" s="19" t="str">
        <x:v>Printer</x:v>
      </x:c>
      <x:c r="D49" s="19" t="str">
        <x:v>HP</x:v>
      </x:c>
      <x:c r="E49" s="19" t="str">
        <x:v>MFP 1005</x:v>
      </x:c>
      <x:c r="F49" s="19" t="str">
        <x:v>functions=Print; print_speed_ppm=14; resolution=1200X1200 DPI; connectivity=USB</x:v>
      </x:c>
    </x:row>
    <x:row r="50">
      <x:c r="A50" s="19" t="str">
        <x:v>MOD046</x:v>
      </x:c>
      <x:c r="B50" s="19" t="str">
        <x:v>CAT03</x:v>
      </x:c>
      <x:c r="C50" s="19" t="str">
        <x:v>Printer</x:v>
      </x:c>
      <x:c r="D50" s="19" t="str">
        <x:v>HP</x:v>
      </x:c>
      <x:c r="E50" s="19" t="str">
        <x:v>1005</x:v>
      </x:c>
      <x:c r="F50" s="19" t="str">
        <x:v>functions=Print/Scan/Copy</x:v>
      </x:c>
    </x:row>
    <x:row r="51">
      <x:c r="A51" s="19" t="str">
        <x:v>MOD047</x:v>
      </x:c>
      <x:c r="B51" s="19" t="str">
        <x:v>CAT04</x:v>
      </x:c>
      <x:c r="C51" s="19" t="str">
        <x:v>UPS</x:v>
      </x:c>
      <x:c r="D51" s="19" t="str">
        <x:v>Liebert</x:v>
      </x:c>
      <x:c r="E51" s="19" t="str">
        <x:v>Powerbank 6000</x:v>
      </x:c>
      <x:c r="F51" s="19" t="str"/>
    </x:row>
    <x:row r="52">
      <x:c r="A52" s="19" t="str">
        <x:v>MOD048</x:v>
      </x:c>
      <x:c r="B52" s="19" t="str">
        <x:v>CAT04</x:v>
      </x:c>
      <x:c r="C52" s="19" t="str">
        <x:v>UPS</x:v>
      </x:c>
      <x:c r="D52" s="19" t="str">
        <x:v>Renutron</x:v>
      </x:c>
      <x:c r="E52" s="19" t="str">
        <x:v>6 KVA Online UPS</x:v>
      </x:c>
      <x:c r="F52" s="19" t="str">
        <x:v>capacity_kva=6.0; dc_voltage=144; input_voltage_range=150-280 V; output_power_factor=0.8; charger_amp=15</x:v>
      </x:c>
    </x:row>
    <x:row r="53">
      <x:c r="A53" s="19" t="str">
        <x:v>MOD049</x:v>
      </x:c>
      <x:c r="B53" s="19" t="str">
        <x:v>CAT04</x:v>
      </x:c>
      <x:c r="C53" s="19" t="str">
        <x:v>UPS</x:v>
      </x:c>
      <x:c r="D53" s="19" t="str">
        <x:v>RPC Online</x:v>
      </x:c>
      <x:c r="E53" s="19" t="str">
        <x:v>RPC Online 4 KVA</x:v>
      </x:c>
      <x:c r="F53" s="19" t="str">
        <x:v>capacity_kva=4.0</x:v>
      </x:c>
    </x:row>
    <x:row r="54">
      <x:c r="A54" s="19" t="str">
        <x:v>MOD050</x:v>
      </x:c>
      <x:c r="B54" s="19" t="str">
        <x:v>CAT04</x:v>
      </x:c>
      <x:c r="C54" s="19" t="str">
        <x:v>UPS</x:v>
      </x:c>
      <x:c r="D54" s="19" t="str">
        <x:v>Renutron</x:v>
      </x:c>
      <x:c r="E54" s="19" t="str">
        <x:v>6 KVA Online UPS</x:v>
      </x:c>
      <x:c r="F54" s="19" t="str">
        <x:v>capacity_kva=6.0; dc_voltage=144; input_voltage_range=150-280 V; output_power_factor=0.8; charger_amp=15; battery_spec=12V 42Ah</x:v>
      </x:c>
    </x:row>
    <x:row r="55">
      <x:c r="A55" s="19" t="str">
        <x:v>MOD051</x:v>
      </x:c>
      <x:c r="B55" s="19" t="str">
        <x:v>CAT04</x:v>
      </x:c>
      <x:c r="C55" s="19" t="str">
        <x:v>UPS</x:v>
      </x:c>
      <x:c r="D55" s="19" t="str">
        <x:v>Renutron</x:v>
      </x:c>
      <x:c r="E55" s="19" t="str">
        <x:v>3 KVA Online UPS</x:v>
      </x:c>
      <x:c r="F55" s="19" t="str">
        <x:v>capacity_kva=3.0; dc_voltage=72</x:v>
      </x:c>
    </x:row>
    <x:row r="56">
      <x:c r="A56" s="19" t="str">
        <x:v>MOD052</x:v>
      </x:c>
      <x:c r="B56" s="19" t="str">
        <x:v>CAT04</x:v>
      </x:c>
      <x:c r="C56" s="19" t="str">
        <x:v>UPS</x:v>
      </x:c>
      <x:c r="D56" s="19" t="str"/>
      <x:c r="E56" s="19" t="str">
        <x:v>4 KVA Online UPS</x:v>
      </x:c>
      <x:c r="F56" s="19" t="str">
        <x:v>capacity_kva=4.0</x:v>
      </x:c>
    </x:row>
    <x:row r="57">
      <x:c r="A57" s="19" t="str">
        <x:v>MOD053</x:v>
      </x:c>
      <x:c r="B57" s="19" t="str">
        <x:v>CAT04</x:v>
      </x:c>
      <x:c r="C57" s="19" t="str">
        <x:v>UPS</x:v>
      </x:c>
      <x:c r="D57" s="19" t="str">
        <x:v>Liebert</x:v>
      </x:c>
      <x:c r="E57" s="19" t="str">
        <x:v>Super 420D</x:v>
      </x:c>
      <x:c r="F57" s="19" t="str">
        <x:v>capacity_kva=20.0; battery_spec=12V 100Ah</x:v>
      </x:c>
    </x:row>
    <x:row r="58">
      <x:c r="A58" s="19" t="str">
        <x:v>MOD054</x:v>
      </x:c>
      <x:c r="B58" s="19" t="str">
        <x:v>CAT04</x:v>
      </x:c>
      <x:c r="C58" s="19" t="str">
        <x:v>UPS</x:v>
      </x:c>
      <x:c r="D58" s="19" t="str">
        <x:v>Renutron</x:v>
      </x:c>
      <x:c r="E58" s="19" t="str">
        <x:v>3 KVA Online UPS</x:v>
      </x:c>
      <x:c r="F58" s="19" t="str">
        <x:v>capacity_kva=3.0; dc_voltage=72; input_voltage_range=150-300 V; output_power_factor=0.8</x:v>
      </x:c>
    </x:row>
    <x:row r="59">
      <x:c r="A59" s="19" t="str">
        <x:v>MOD055</x:v>
      </x:c>
      <x:c r="B59" s="19" t="str">
        <x:v>CAT04</x:v>
      </x:c>
      <x:c r="C59" s="19" t="str">
        <x:v>UPS</x:v>
      </x:c>
      <x:c r="D59" s="19" t="str">
        <x:v>Renutron</x:v>
      </x:c>
      <x:c r="E59" s="19" t="str">
        <x:v>6 KVA Online UPS</x:v>
      </x:c>
      <x:c r="F59" s="19" t="str">
        <x:v>capacity_kva=6.0; dc_voltage=144; input_voltage_range=150-280 V; output_power_factor=0.8; charger_amp=15; battery_spec=12V 80Ah</x:v>
      </x:c>
    </x:row>
  </x:sheetData>
  <x:mergeCells>
    <x:mergeCell ref="A1:F1"/>
  </x:mergeCells>
  <x:pageMargins left="0.7" right="0.7" top="0.75" bottom="0.75" header="0.3" footer="0.3"/>
  <x:tableParts count="1">
    <x:tablePart xmlns:r="http://schemas.openxmlformats.org/officeDocument/2006/relationships" r:id="R6ee460862dd8448f"/>
  </x:tableParts>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22" hidden="0" customWidth="1"/>
    <x:col min="5" max="5" width="13" hidden="0" customWidth="1"/>
    <x:col min="6" max="6" width="13" hidden="0" customWidth="1"/>
    <x:col min="7" max="7" width="22"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55" hidden="0" customWidth="1"/>
  </x:cols>
  <x:sheetData>
    <x:row r="1">
      <x:c r="A1" s="5" t="str">
        <x:v>Normalized Purchase / Dead-stock Batch Table</x:v>
      </x:c>
    </x:row>
    <x:row r="2">
      <x:c r="A2" s="24" t="str">
        <x:v>Rows: 81</x:v>
      </x:c>
    </x:row>
    <x:row r="4" ht="34" customHeight="1">
      <x:c r="A4" s="18" t="str">
        <x:v>batch_id</x:v>
      </x:c>
      <x:c r="B4" s="18" t="str">
        <x:v>acquisition_lab_id</x:v>
      </x:c>
      <x:c r="C4" s="18" t="str">
        <x:v>model_id</x:v>
      </x:c>
      <x:c r="D4" s="18" t="str">
        <x:v>supplier_id</x:v>
      </x:c>
      <x:c r="E4" s="18" t="str">
        <x:v>register_sr_no</x:v>
      </x:c>
      <x:c r="F4" s="18" t="str">
        <x:v>purchase_date</x:v>
      </x:c>
      <x:c r="G4" s="18" t="str">
        <x:v>reference_no</x:v>
      </x:c>
      <x:c r="H4" s="18" t="str">
        <x:v>quantity_original</x:v>
      </x:c>
      <x:c r="I4" s="18" t="str">
        <x:v>quantity_current</x:v>
      </x:c>
      <x:c r="J4" s="18" t="str">
        <x:v>unit_rate</x:v>
      </x:c>
      <x:c r="K4" s="18" t="str">
        <x:v>total_cost</x:v>
      </x:c>
      <x:c r="L4" s="18" t="str">
        <x:v>status</x:v>
      </x:c>
      <x:c r="M4" s="18" t="str">
        <x:v>source_file</x:v>
      </x:c>
      <x:c r="N4" s="18" t="str">
        <x:v>source_page</x:v>
      </x:c>
      <x:c r="O4" s="18" t="str">
        <x:v>source_description</x:v>
      </x:c>
    </x:row>
    <x:row r="5" ht="34" customHeight="1">
      <x:c r="A5" s="19" t="str">
        <x:v>BAT0001</x:v>
      </x:c>
      <x:c r="B5" s="19" t="str">
        <x:v>LAB001</x:v>
      </x:c>
      <x:c r="C5" s="19" t="str">
        <x:v>MOD001</x:v>
      </x:c>
      <x:c r="D5" s="19" t="str">
        <x:v>SUP006</x:v>
      </x:c>
      <x:c r="E5" s="19" t="str">
        <x:v>027</x:v>
      </x:c>
      <x:c r="F5" s="28" t="n">
        <x:v>38957</x:v>
      </x:c>
      <x:c r="G5" s="19" t="str">
        <x:v>2006-271</x:v>
      </x:c>
      <x:c r="H5" s="19" t="n">
        <x:v>16</x:v>
      </x:c>
      <x:c r="I5" s="19" t="n">
        <x:v>16</x:v>
      </x:c>
      <x:c r="J5" s="26" t="n">
        <x:v>6999.99</x:v>
      </x:c>
      <x:c r="K5" s="26" t="n">
        <x:v>111999.84</x:v>
      </x:c>
      <x:c r="L5" s="19" t="str">
        <x:v>ACTIVE/RECORDED</x:v>
      </x:c>
      <x:c r="M5" s="19" t="str">
        <x:v>Battery.pdf</x:v>
      </x:c>
      <x:c r="N5" s="19" t="n">
        <x:v>1</x:v>
      </x:c>
      <x:c r="O5" s="19" t="str">
        <x:v>Battery System For Online UPS (12V, 80 AH HBL (TRIUMPH-HP) ( + 12.5 % VAT) TRIUMPH-HP</x:v>
      </x:c>
    </x:row>
    <x:row r="6" ht="34" customHeight="1">
      <x:c r="A6" s="19" t="str">
        <x:v>BAT0002</x:v>
      </x:c>
      <x:c r="B6" s="19" t="str">
        <x:v>LAB008</x:v>
      </x:c>
      <x:c r="C6" s="19" t="str">
        <x:v>MOD002</x:v>
      </x:c>
      <x:c r="D6" s="19" t="str">
        <x:v>SUP007</x:v>
      </x:c>
      <x:c r="E6" s="19" t="str">
        <x:v>020</x:v>
      </x:c>
      <x:c r="F6" s="28" t="n">
        <x:v>43887</x:v>
      </x:c>
      <x:c r="G6" s="19" t="str">
        <x:v>VCPL-2/1920/4326</x:v>
      </x:c>
      <x:c r="H6" s="19" t="n">
        <x:v>18</x:v>
      </x:c>
      <x:c r="I6" s="19" t="n">
        <x:v>18</x:v>
      </x:c>
      <x:c r="J6" s="26" t="n">
        <x:v>4499</x:v>
      </x:c>
      <x:c r="K6" s="26" t="n">
        <x:v>80982</x:v>
      </x:c>
      <x:c r="L6" s="19" t="str">
        <x:v>ACTIVE/RECORDED</x:v>
      </x:c>
      <x:c r="M6" s="19" t="str">
        <x:v>Battery.pdf</x:v>
      </x:c>
      <x:c r="N6" s="19" t="n">
        <x:v>2</x:v>
      </x:c>
      <x:c r="O6" s="19" t="str">
        <x:v>Batteries : Quanta make SMF Batteries 12 V, 42 Ah Warranty: 2 Years on site by Renutron ( Including CGST &amp; SGST 28 % ) QUANTA</x:v>
      </x:c>
    </x:row>
    <x:row r="7" ht="34" customHeight="1">
      <x:c r="A7" s="19" t="str">
        <x:v>BAT0003</x:v>
      </x:c>
      <x:c r="B7" s="19" t="str">
        <x:v>LAB009</x:v>
      </x:c>
      <x:c r="C7" s="19" t="str">
        <x:v>MOD003</x:v>
      </x:c>
      <x:c r="D7" s="19" t="str">
        <x:v>SUP007</x:v>
      </x:c>
      <x:c r="E7" s="19" t="str">
        <x:v>006</x:v>
      </x:c>
      <x:c r="F7" s="28" t="n">
        <x:v>43887</x:v>
      </x:c>
      <x:c r="G7" s="19" t="str">
        <x:v>VCPL-2/1920/4322</x:v>
      </x:c>
      <x:c r="H7" s="19" t="n">
        <x:v>12</x:v>
      </x:c>
      <x:c r="I7" s="19" t="n">
        <x:v>0</x:v>
      </x:c>
      <x:c r="J7" s="26"/>
      <x:c r="K7" s="26"/>
      <x:c r="L7" s="19" t="str">
        <x:v>TRANSFERRED_OUT</x:v>
      </x:c>
      <x:c r="M7" s="19" t="str">
        <x:v>Battery.pdf</x:v>
      </x:c>
      <x:c r="N7" s="19" t="n">
        <x:v>3</x:v>
      </x:c>
      <x:c r="O7" s="19" t="str">
        <x:v>Battery: Quanta 12 V/42 AH Warranty: 2 Years on site by Renutron ( GST Included 28 %) QUANTA</x:v>
      </x:c>
    </x:row>
    <x:row r="8" ht="34" customHeight="1">
      <x:c r="A8" s="19" t="str">
        <x:v>BAT0004</x:v>
      </x:c>
      <x:c r="B8" s="19" t="str">
        <x:v>LAB010</x:v>
      </x:c>
      <x:c r="C8" s="19" t="str">
        <x:v>MOD003</x:v>
      </x:c>
      <x:c r="D8" s="19" t="str">
        <x:v>SUP007</x:v>
      </x:c>
      <x:c r="E8" s="19" t="str">
        <x:v>002</x:v>
      </x:c>
      <x:c r="F8" s="28" t="n">
        <x:v>43887</x:v>
      </x:c>
      <x:c r="G8" s="19" t="str">
        <x:v>VCPL-2/1920/4322</x:v>
      </x:c>
      <x:c r="H8" s="19" t="n">
        <x:v>12</x:v>
      </x:c>
      <x:c r="I8" s="19" t="n">
        <x:v>12</x:v>
      </x:c>
      <x:c r="J8" s="26" t="n">
        <x:v>4499</x:v>
      </x:c>
      <x:c r="K8" s="26" t="n">
        <x:v>53988</x:v>
      </x:c>
      <x:c r="L8" s="19" t="str">
        <x:v>TRANSFERRED_IN</x:v>
      </x:c>
      <x:c r="M8" s="19" t="str">
        <x:v>Battery.pdf</x:v>
      </x:c>
      <x:c r="N8" s="19" t="n">
        <x:v>4</x:v>
      </x:c>
      <x:c r="O8" s="19" t="str">
        <x:v>Battery: Quanta 12 V/42 AH Warranty: 2 Years on site by Renutron ( GST Included 28 %) Renutron Quanta</x:v>
      </x:c>
    </x:row>
    <x:row r="9" ht="34" customHeight="1">
      <x:c r="A9" s="19" t="str">
        <x:v>BAT0005</x:v>
      </x:c>
      <x:c r="B9" s="19" t="str">
        <x:v>LAB001</x:v>
      </x:c>
      <x:c r="C9" s="19" t="str">
        <x:v>MOD004</x:v>
      </x:c>
      <x:c r="D9" s="19" t="str">
        <x:v>SUP007</x:v>
      </x:c>
      <x:c r="E9" s="19" t="str">
        <x:v>032</x:v>
      </x:c>
      <x:c r="F9" s="28" t="n">
        <x:v>41540</x:v>
      </x:c>
      <x:c r="G9" s="19" t="str">
        <x:v>SUD09/1314/0630</x:v>
      </x:c>
      <x:c r="H9" s="19" t="n">
        <x:v>20</x:v>
      </x:c>
      <x:c r="I9" s="19" t="n">
        <x:v>20</x:v>
      </x:c>
      <x:c r="J9" s="26" t="n">
        <x:v>33600</x:v>
      </x:c>
      <x:c r="K9" s="26" t="n">
        <x:v>672000</x:v>
      </x:c>
      <x:c r="L9" s="19" t="str">
        <x:v>ACTIVE/RECORDED</x:v>
      </x:c>
      <x:c r="M9" s="19" t="str">
        <x:v>Computers.pdf</x:v>
      </x:c>
      <x:c r="N9" s="19" t="n">
        <x:v>1</x:v>
      </x:c>
      <x:c r="O9" s="19" t="str">
        <x:v>DELL Optiplex 3010 : Dt- i5 Intel Core i5 3470 Processor 3.20 Ghz, 6 MB, 3rd Generation, 500 GB Sata Harddisk, 4 GB DDR3 RAM, Chipset Motherboard, HD Graphics, LAN Card, USB Keyboard, Mouse, 18.5" widescreen LED Monitor, Windows License Dell</x:v>
      </x:c>
    </x:row>
    <x:row r="10" ht="34" customHeight="1">
      <x:c r="A10" s="19" t="str">
        <x:v>BAT0006</x:v>
      </x:c>
      <x:c r="B10" s="19" t="str">
        <x:v>LAB001</x:v>
      </x:c>
      <x:c r="C10" s="19" t="str">
        <x:v>MOD005</x:v>
      </x:c>
      <x:c r="D10" s="19" t="str">
        <x:v>SUP007</x:v>
      </x:c>
      <x:c r="E10" s="19" t="str">
        <x:v>042</x:v>
      </x:c>
      <x:c r="F10" s="28" t="n">
        <x:v>44646</x:v>
      </x:c>
      <x:c r="G10" s="19" t="str">
        <x:v>VCPL-2/2122/3412</x:v>
      </x:c>
      <x:c r="H10" s="19" t="n">
        <x:v>2</x:v>
      </x:c>
      <x:c r="I10" s="19" t="n">
        <x:v>2</x:v>
      </x:c>
      <x:c r="J10" s="26" t="n">
        <x:v>86933</x:v>
      </x:c>
      <x:c r="K10" s="26" t="n">
        <x:v>173866</x:v>
      </x:c>
      <x:c r="L10" s="19" t="str">
        <x:v>ACTIVE/RECORDED</x:v>
      </x:c>
      <x:c r="M10" s="19" t="str">
        <x:v>Computers.pdf</x:v>
      </x:c>
      <x:c r="N10" s="19" t="n">
        <x:v>1</x:v>
      </x:c>
      <x:c r="O10" s="19" t="str">
        <x:v>Computer: 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Warranty: 3 Years Next Business Day Onsite Service by DELL Sr. No. DELL</x:v>
      </x:c>
    </x:row>
    <x:row r="11" ht="34" customHeight="1">
      <x:c r="A11" s="19" t="str">
        <x:v>BAT0007</x:v>
      </x:c>
      <x:c r="B11" s="19" t="str">
        <x:v>LAB002</x:v>
      </x:c>
      <x:c r="C11" s="19" t="str">
        <x:v>MOD006</x:v>
      </x:c>
      <x:c r="D11" s="19" t="str">
        <x:v>SUP007</x:v>
      </x:c>
      <x:c r="E11" s="19" t="str">
        <x:v>020</x:v>
      </x:c>
      <x:c r="F11" s="28" t="n">
        <x:v>40071</x:v>
      </x:c>
      <x:c r="G11" s="19" t="str">
        <x:v>SUD09/0910/0237</x:v>
      </x:c>
      <x:c r="H11" s="19" t="n">
        <x:v>20</x:v>
      </x:c>
      <x:c r="I11" s="19" t="n">
        <x:v>20</x:v>
      </x:c>
      <x:c r="J11" s="26" t="n">
        <x:v>28975</x:v>
      </x:c>
      <x:c r="K11" s="26" t="n">
        <x:v>579500</x:v>
      </x:c>
      <x:c r="L11" s="19" t="str">
        <x:v>ACTIVE/RECORDED</x:v>
      </x:c>
      <x:c r="M11" s="19" t="str">
        <x:v>Computers.pdf</x:v>
      </x:c>
      <x:c r="N11" s="19" t="n">
        <x:v>2</x:v>
      </x:c>
      <x:c r="O11" s="19" t="str">
        <x:v>Dell Optiplex 360 (C2D 2.9/ 2GB/ 250 GB HDD/ DVDRW/ 3 Year Warranty) Intel Core 2 Deo E7500 (2.93 Ghz, 3 MB L2 Cache, 1066 Mz FSB) 2 GB DDR2 @ 800 Mhz SD RAM Memory, 250 GB SATA HDD @ 7200 RPM, 16 X Max DVD +/-RW with Dual Layer write Capabilities, Intel G31/Q33 Express Chipset Motherboard Intel Graphics Media X3100, Integrated Gigabyte LAN, Keyboard, Optical USB Mouse + MAT, Internal Speaker, 8 USB 8.0, 1 Ethernet (RJ-45), 1 Serial, 1 Parallel, 1 VGA out, 1 Sterio Line in, 1 Microphone In, 1 Speaker Iine out, 1 headphone, Monitor/BTD Cabinet ( 3 Years Onsite Warranty) Dell</x:v>
      </x:c>
    </x:row>
    <x:row r="12" ht="34" customHeight="1">
      <x:c r="A12" s="19" t="str">
        <x:v>BAT0008</x:v>
      </x:c>
      <x:c r="B12" s="19" t="str">
        <x:v>LAB002</x:v>
      </x:c>
      <x:c r="C12" s="19" t="str">
        <x:v>MOD007</x:v>
      </x:c>
      <x:c r="D12" s="19" t="str">
        <x:v>SUP007</x:v>
      </x:c>
      <x:c r="E12" s="19" t="str">
        <x:v>031</x:v>
      </x:c>
      <x:c r="F12" s="28" t="n">
        <x:v>42620</x:v>
      </x:c>
      <x:c r="G12" s="19" t="str">
        <x:v>sud09/1617/0567</x:v>
      </x:c>
      <x:c r="H12" s="19" t="n">
        <x:v>10</x:v>
      </x:c>
      <x:c r="I12" s="19" t="n">
        <x:v>10</x:v>
      </x:c>
      <x:c r="J12" s="26" t="n">
        <x:v>42500</x:v>
      </x:c>
      <x:c r="K12" s="26" t="n">
        <x:v>425000</x:v>
      </x:c>
      <x:c r="L12" s="19" t="str">
        <x:v>ACTIVE/RECORDED</x:v>
      </x:c>
      <x:c r="M12" s="19" t="str">
        <x:v>Computers.pdf</x:v>
      </x:c>
      <x:c r="N12" s="19" t="n">
        <x:v>2</x:v>
      </x:c>
      <x:c r="O12" s="19" t="str">
        <x:v>Dell Optiplex 3040 Dell</x:v>
      </x:c>
    </x:row>
    <x:row r="13" ht="34" customHeight="1">
      <x:c r="A13" s="19" t="str">
        <x:v>BAT0009</x:v>
      </x:c>
      <x:c r="B13" s="19" t="str">
        <x:v>LAB002</x:v>
      </x:c>
      <x:c r="C13" s="19" t="str">
        <x:v>MOD005</x:v>
      </x:c>
      <x:c r="D13" s="19" t="str">
        <x:v>SUP007</x:v>
      </x:c>
      <x:c r="E13" s="19" t="str">
        <x:v>037</x:v>
      </x:c>
      <x:c r="F13" s="28" t="n">
        <x:v>44646</x:v>
      </x:c>
      <x:c r="G13" s="19" t="str">
        <x:v>VCPL-2/2122/3412</x:v>
      </x:c>
      <x:c r="H13" s="19" t="n">
        <x:v>10</x:v>
      </x:c>
      <x:c r="I13" s="19" t="n">
        <x:v>10</x:v>
      </x:c>
      <x:c r="J13" s="26" t="n">
        <x:v>86933</x:v>
      </x:c>
      <x:c r="K13" s="26" t="n">
        <x:v>869330</x:v>
      </x:c>
      <x:c r="L13" s="19" t="str">
        <x:v>ACTIVE/RECORDED</x:v>
      </x:c>
      <x:c r="M13" s="19" t="str">
        <x:v>Computers.pdf</x:v>
      </x:c>
      <x:c r="N13" s="19" t="n">
        <x:v>3</x:v>
      </x:c>
      <x:c r="O13" s="19" t="str">
        <x:v>Computer: 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DELL</x:v>
      </x:c>
    </x:row>
    <x:row r="14" ht="34" customHeight="1">
      <x:c r="A14" s="19" t="str">
        <x:v>BAT0010</x:v>
      </x:c>
      <x:c r="B14" s="19" t="str">
        <x:v>LAB003</x:v>
      </x:c>
      <x:c r="C14" s="19" t="str">
        <x:v>MOD008</x:v>
      </x:c>
      <x:c r="D14" s="19" t="str">
        <x:v>SUP007</x:v>
      </x:c>
      <x:c r="E14" s="19" t="str">
        <x:v>029</x:v>
      </x:c>
      <x:c r="F14" s="28" t="n">
        <x:v>40071</x:v>
      </x:c>
      <x:c r="G14" s="19" t="str">
        <x:v>SUD09/0910/0237</x:v>
      </x:c>
      <x:c r="H14" s="19" t="n">
        <x:v>17</x:v>
      </x:c>
      <x:c r="I14" s="19" t="n">
        <x:v>17</x:v>
      </x:c>
      <x:c r="J14" s="26" t="n">
        <x:v>28975</x:v>
      </x:c>
      <x:c r="K14" s="26" t="n">
        <x:v>492575</x:v>
      </x:c>
      <x:c r="L14" s="19" t="str">
        <x:v>ACTIVE/RECORDED</x:v>
      </x:c>
      <x:c r="M14" s="19" t="str">
        <x:v>Computers.pdf</x:v>
      </x:c>
      <x:c r="N14" s="19" t="n">
        <x:v>4</x:v>
      </x:c>
      <x:c r="O14" s="19" t="str">
        <x:v>Dell OptiPlex 360 (C2D 2.9/ 2GB/ 250 GB HDD/ DVDRW/ 3 Year Warranty) Intel Core 2 Deo, E7500, (2.93 GHz, 3 MB L2 Catch, 2 GB DDR 2 SD RAM, HDD 250 GB, Monitor TFT, Key Board, mouse DELL</x:v>
      </x:c>
    </x:row>
    <x:row r="15" ht="34" customHeight="1">
      <x:c r="A15" s="19" t="str">
        <x:v>BAT0011</x:v>
      </x:c>
      <x:c r="B15" s="19" t="str">
        <x:v>LAB003</x:v>
      </x:c>
      <x:c r="C15" s="19" t="str">
        <x:v>MOD009</x:v>
      </x:c>
      <x:c r="D15" s="19" t="str">
        <x:v>SUP007</x:v>
      </x:c>
      <x:c r="E15" s="19" t="str">
        <x:v>041</x:v>
      </x:c>
      <x:c r="F15" s="28" t="n">
        <x:v>42043</x:v>
      </x:c>
      <x:c r="G15" s="19" t="str">
        <x:v>SUD02/1415/1426</x:v>
      </x:c>
      <x:c r="H15" s="19" t="n">
        <x:v>10</x:v>
      </x:c>
      <x:c r="I15" s="19" t="n">
        <x:v>10</x:v>
      </x:c>
      <x:c r="J15" s="26" t="n">
        <x:v>39500</x:v>
      </x:c>
      <x:c r="K15" s="26" t="n">
        <x:v>395000</x:v>
      </x:c>
      <x:c r="L15" s="19" t="str">
        <x:v>ACTIVE/RECORDED</x:v>
      </x:c>
      <x:c r="M15" s="19" t="str">
        <x:v>Computers.pdf</x:v>
      </x:c>
      <x:c r="N15" s="19" t="n">
        <x:v>4</x:v>
      </x:c>
      <x:c r="O15" s="19" t="str">
        <x:v>Dell Computers: Dell Optiplex 3020 MT, Intel Core I 5-4570 Processor Quad Core with Mini tower, HD Graphics, 4 GB 1 DiMM Non EDD, 500 GB HDD, Monitor 19", Dell Optical Mouse &amp; USB KeyBoard DELL</x:v>
      </x:c>
    </x:row>
    <x:row r="16" ht="34" customHeight="1">
      <x:c r="A16" s="19" t="str">
        <x:v>BAT0012</x:v>
      </x:c>
      <x:c r="B16" s="19" t="str">
        <x:v>LAB003</x:v>
      </x:c>
      <x:c r="C16" s="19" t="str">
        <x:v>MOD010</x:v>
      </x:c>
      <x:c r="D16" s="19" t="str">
        <x:v>SUP007</x:v>
      </x:c>
      <x:c r="E16" s="19" t="str">
        <x:v>048</x:v>
      </x:c>
      <x:c r="F16" s="28" t="n">
        <x:v>43337</x:v>
      </x:c>
      <x:c r="G16" s="19" t="str">
        <x:v>VCPL-2/1819/1598</x:v>
      </x:c>
      <x:c r="H16" s="19" t="n">
        <x:v>16</x:v>
      </x:c>
      <x:c r="I16" s="19" t="n">
        <x:v>16</x:v>
      </x:c>
      <x:c r="J16" s="26" t="n">
        <x:v>47500</x:v>
      </x:c>
      <x:c r="K16" s="26" t="n">
        <x:v>760000</x:v>
      </x:c>
      <x:c r="L16" s="19" t="str">
        <x:v>ACTIVE/RECORDED</x:v>
      </x:c>
      <x:c r="M16" s="19" t="str">
        <x:v>Computers.pdf</x:v>
      </x:c>
      <x:c r="N16" s="19" t="n">
        <x:v>4</x:v>
      </x:c>
      <x:c r="O16" s="19" t="str">
        <x:v>Dell Computers: Dell Optiflex 3060 MT (Ci7/4/6/4 GB/1 TB/18.5"/3 Year Intel Core i7 Processor-8700 (6 Core/12MB/12T/up to 4.6 GHz, 65W); Support Windows 10 / Linux 4 GB(1X4GB)2600Mhz DDR4 UDIMM nOn -ECC 3.5 inch 1 TB 7200 RPM SATA Hard Disk Drive Intel Integrated Graphics,Dell Optical Mouse MS116 Black, Dell Multimedia Keyboard KB216 Black Keyboard US International-(QWERTY),Tower with 260W up to, 19" Dell 1916 HE Monitor,Ubuntu Linux 16.04, Warranty: 3 Year Next Business Day Onsite Service By Dell Dell</x:v>
      </x:c>
    </x:row>
    <x:row r="17" ht="34" customHeight="1">
      <x:c r="A17" s="19" t="str">
        <x:v>BAT0013</x:v>
      </x:c>
      <x:c r="B17" s="19" t="str">
        <x:v>LAB004</x:v>
      </x:c>
      <x:c r="C17" s="19" t="str">
        <x:v>MOD011</x:v>
      </x:c>
      <x:c r="D17" s="19" t="str">
        <x:v>SUP007</x:v>
      </x:c>
      <x:c r="E17" s="19" t="str">
        <x:v>026</x:v>
      </x:c>
      <x:c r="F17" s="28" t="n">
        <x:v>42042</x:v>
      </x:c>
      <x:c r="G17" s="19" t="str">
        <x:v>SUD02/1415/1426</x:v>
      </x:c>
      <x:c r="H17" s="19" t="n">
        <x:v>10</x:v>
      </x:c>
      <x:c r="I17" s="19" t="n">
        <x:v>10</x:v>
      </x:c>
      <x:c r="J17" s="26" t="n">
        <x:v>39500</x:v>
      </x:c>
      <x:c r="K17" s="26" t="n">
        <x:v>395000</x:v>
      </x:c>
      <x:c r="L17" s="19" t="str">
        <x:v>ACTIVE/RECORDED</x:v>
      </x:c>
      <x:c r="M17" s="19" t="str">
        <x:v>Computers.pdf</x:v>
      </x:c>
      <x:c r="N17" s="19" t="n">
        <x:v>6</x:v>
      </x:c>
      <x:c r="O17" s="19" t="str">
        <x:v>Dell Computers: Dell Optiplex 3020 MT, Intel Core I 5-4570 Processor Quad Core with Mini tower, HD Graphics, 4 GB 1 DiMM Non EDD, 500 GB HDD, DELL wide LED Monitor 18.5", Dell Optical Mouse &amp; USB KeyBoard Ubuntu Linux 12.04 3 Year Onsite Service (VAT @ 5 %) DELL Optiplex3020</x:v>
      </x:c>
    </x:row>
    <x:row r="18" ht="34" customHeight="1">
      <x:c r="A18" s="19" t="str">
        <x:v>BAT0014</x:v>
      </x:c>
      <x:c r="B18" s="19" t="str">
        <x:v>LAB005</x:v>
      </x:c>
      <x:c r="C18" s="19" t="str">
        <x:v>MOD009</x:v>
      </x:c>
      <x:c r="D18" s="19" t="str">
        <x:v>SUP007</x:v>
      </x:c>
      <x:c r="E18" s="19" t="str">
        <x:v>026</x:v>
      </x:c>
      <x:c r="F18" s="28" t="n">
        <x:v>42042</x:v>
      </x:c>
      <x:c r="G18" s="19" t="str">
        <x:v>SUD02/1415/1426</x:v>
      </x:c>
      <x:c r="H18" s="19" t="n">
        <x:v>10</x:v>
      </x:c>
      <x:c r="I18" s="19" t="n">
        <x:v>10</x:v>
      </x:c>
      <x:c r="J18" s="26" t="n">
        <x:v>39500</x:v>
      </x:c>
      <x:c r="K18" s="26" t="n">
        <x:v>395000</x:v>
      </x:c>
      <x:c r="L18" s="19" t="str">
        <x:v>ACTIVE/RECORDED</x:v>
      </x:c>
      <x:c r="M18" s="19" t="str">
        <x:v>Computers.pdf</x:v>
      </x:c>
      <x:c r="N18" s="19" t="n">
        <x:v>7</x:v>
      </x:c>
      <x:c r="O18" s="19" t="str">
        <x:v>Dell Optiplex 3020 MT, Intel Core I 5-4570 Processor Quad Core with Mini tower, HD Graphics, 4 GB 1 DiMM Non EDD, 500 GB HDD, Monitor 19", Dell Optical Mouse &amp; USB KeyBoard Dell</x:v>
      </x:c>
    </x:row>
    <x:row r="19" ht="34" customHeight="1">
      <x:c r="A19" s="19" t="str">
        <x:v>BAT0015</x:v>
      </x:c>
      <x:c r="B19" s="19" t="str">
        <x:v>LAB005</x:v>
      </x:c>
      <x:c r="C19" s="19" t="str">
        <x:v>MOD012</x:v>
      </x:c>
      <x:c r="D19" s="19" t="str">
        <x:v>SUP007</x:v>
      </x:c>
      <x:c r="E19" s="19" t="str">
        <x:v>032</x:v>
      </x:c>
      <x:c r="F19" s="28" t="n">
        <x:v>43008</x:v>
      </x:c>
      <x:c r="G19" s="19" t="str">
        <x:v>VCPL-2/1718/1319</x:v>
      </x:c>
      <x:c r="H19" s="19" t="n">
        <x:v>13</x:v>
      </x:c>
      <x:c r="I19" s="19" t="n">
        <x:v>13</x:v>
      </x:c>
      <x:c r="J19" s="26" t="n">
        <x:v>44510</x:v>
      </x:c>
      <x:c r="K19" s="26" t="n">
        <x:v>578630</x:v>
      </x:c>
      <x:c r="L19" s="19" t="str">
        <x:v>ACTIVE/RECORDED</x:v>
      </x:c>
      <x:c r="M19" s="19" t="str">
        <x:v>Computers.pdf</x:v>
      </x:c>
      <x:c r="N19" s="19" t="n">
        <x:v>7</x:v>
      </x:c>
      <x:c r="O19" s="19" t="str">
        <x:v>Dell Optiplex3050MT, Intel Core i7 Processor-770 (Quad Core, 8MB,8T 3.6 GHz, 65W); Spports Windows 10 / Linux 4 GB(1X4GB)2400Mhz DDR4 Memory, 1 TB 7.2K RPM SATA 6gbps Entry 3.5 inch SATAcabled Hard Drive, Integrated Intel HD Graphics, Dell OptiPlex VGA Video Port, Mini Tower, No PCI Add-in Card,No Wireless Card, Dell Optical Mouse MS116 Black, Dell Multimedia Keyboard KB216 Black Keyboard US International- (QWERTY) " Windows 10 Home(64bit) Single language English, Mini Tower Chasis +Standard 240 W SMPS,18.5" Dell 1916 HV Monitor. Warranty: 3 Year Next Bussiness Day Onsite Service By Dell Dell</x:v>
      </x:c>
    </x:row>
    <x:row r="20" ht="34" customHeight="1">
      <x:c r="A20" s="19" t="str">
        <x:v>BAT0016</x:v>
      </x:c>
      <x:c r="B20" s="19" t="str">
        <x:v>LAB005</x:v>
      </x:c>
      <x:c r="C20" s="19" t="str">
        <x:v>MOD013</x:v>
      </x:c>
      <x:c r="D20" s="19" t="str">
        <x:v>SUP007</x:v>
      </x:c>
      <x:c r="E20" s="19" t="str">
        <x:v>034</x:v>
      </x:c>
      <x:c r="F20" s="28" t="n">
        <x:v>44893</x:v>
      </x:c>
      <x:c r="G20" s="19" t="str">
        <x:v>VCPL-2/2223/2339</x:v>
      </x:c>
      <x:c r="H20" s="19" t="n">
        <x:v>10</x:v>
      </x:c>
      <x:c r="I20" s="19" t="n">
        <x:v>10</x:v>
      </x:c>
      <x:c r="J20" s="26" t="n">
        <x:v>72260</x:v>
      </x:c>
      <x:c r="K20" s="26" t="n">
        <x:v>722600</x:v>
      </x:c>
      <x:c r="L20" s="19" t="str">
        <x:v>ACTIVE/RECORDED</x:v>
      </x:c>
      <x:c r="M20" s="19" t="str">
        <x:v>Computers.pdf</x:v>
      </x:c>
      <x:c r="N20" s="19" t="n">
        <x:v>8</x:v>
      </x:c>
      <x:c r="O20" s="19" t="str">
        <x:v>DELL Optiplex 3000 MT (Ci5/3/0/8GB/512GB SSD/WIN11 Prof/19.5" 3Yrs) OptiPlex 3000 Tower Intel Ci5-12500 (6 Cores /18MB/12T/3.0Ghz to 4.6 Ghz/65W), Supports Win11DG/Linux) 8GB(1X8GB)DDR4 Non-ECC Memory, M.2 2230 512GB PCIe NVMe Class 35 Solid State Drive (EM) Intel Integrated Graphics, Thermal Pad for Tower SystemPower Cord India 6A, Internal Speaker, No Additional Add in Cards, No PCIe add- in card, No wireless LAN card, Dell USB Optical Mouse-MS116(EPEAT)-Black, Dell wired Keyboard KB216 Black, Windows 10 Pro(Includes Windows 11 Pro License)English, OS-Windows Media Not Included, Microsoft Office Trial 30 Days SW Drivers, Intel Rapid Storage technology, OptiPlex 3000 Dell(TM) Digital Delivery Cirrus Clint, Dell 20 Monitor-E2020H OptiPlex 3000 Tower with 180W Bronze Power Supply Warranty: 3 Years Next Business Day Onsite Service by DELL Sr.No.FPC6JT3,6PC6JT3,BPC6JT3,HPC6J T3,8PC6JT3.CPC6JT3, DPC6JT3,GPC6JT3,7PC6JT3,9PC6JT3,9P C6JT3 ( GST 18% Included) DELL</x:v>
      </x:c>
    </x:row>
    <x:row r="21" ht="34" customHeight="1">
      <x:c r="A21" s="19" t="str">
        <x:v>BAT0017</x:v>
      </x:c>
      <x:c r="B21" s="19" t="str">
        <x:v>LAB006</x:v>
      </x:c>
      <x:c r="C21" s="19" t="str">
        <x:v>MOD014</x:v>
      </x:c>
      <x:c r="D21" s="19" t="str">
        <x:v>SUP007</x:v>
      </x:c>
      <x:c r="E21" s="19" t="str">
        <x:v>033</x:v>
      </x:c>
      <x:c r="F21" s="28" t="n">
        <x:v>42042</x:v>
      </x:c>
      <x:c r="G21" s="19" t="str">
        <x:v>SUD02/1415/1426</x:v>
      </x:c>
      <x:c r="H21" s="19" t="n">
        <x:v>20</x:v>
      </x:c>
      <x:c r="I21" s="19" t="n">
        <x:v>20</x:v>
      </x:c>
      <x:c r="J21" s="26" t="n">
        <x:v>39500</x:v>
      </x:c>
      <x:c r="K21" s="26" t="n">
        <x:v>790000</x:v>
      </x:c>
      <x:c r="L21" s="19" t="str">
        <x:v>ACTIVE/RECORDED</x:v>
      </x:c>
      <x:c r="M21" s="19" t="str">
        <x:v>Computers.pdf</x:v>
      </x:c>
      <x:c r="N21" s="19" t="n">
        <x:v>9</x:v>
      </x:c>
      <x:c r="O21" s="19" t="str">
        <x:v>Dell Optiplex 3020 MI Interl Core i5-4570 Processor Quad Core, 6MB Cache, 3.2 GHz, HD Graphics 4600, Optiplex 3020, Mini Tower Chassis with Standard Power Supply, 4 GB 1 DIMM NDN-EDD, 1600 MHz Optiplex 500 GB, 3.5 inch serial ATA (7200 RPM) Hard Disk Drive, Mini Tower Chassis Mainstream Heat sink (95 Watts 16x Half Height DVD +/- RW Drive Monitor Power Cord (Euro India) 6A Intel Integrated Graphics, Internal Dell Business Audio Speaker, Dell MS111 USB optical Mouse Dell USB Entry Keyboard MS Media: Windows 8 (64 Bit) Resource DVD, # Year next Business Day onsite Service Dell</x:v>
      </x:c>
    </x:row>
    <x:row r="22" ht="34" customHeight="1">
      <x:c r="A22" s="19" t="str">
        <x:v>BAT0018</x:v>
      </x:c>
      <x:c r="B22" s="19" t="str">
        <x:v>LAB006</x:v>
      </x:c>
      <x:c r="C22" s="19" t="str">
        <x:v>MOD015</x:v>
      </x:c>
      <x:c r="D22" s="19" t="str">
        <x:v>SUP007</x:v>
      </x:c>
      <x:c r="E22" s="19" t="str">
        <x:v>040</x:v>
      </x:c>
      <x:c r="F22" s="28" t="n">
        <x:v>44646</x:v>
      </x:c>
      <x:c r="G22" s="19" t="str">
        <x:v>VCPL-2/2122/3412</x:v>
      </x:c>
      <x:c r="H22" s="19" t="n">
        <x:v>3</x:v>
      </x:c>
      <x:c r="I22" s="19" t="n">
        <x:v>3</x:v>
      </x:c>
      <x:c r="J22" s="26" t="n">
        <x:v>70933</x:v>
      </x:c>
      <x:c r="K22" s="26" t="n">
        <x:v>212799</x:v>
      </x:c>
      <x:c r="L22" s="19" t="str">
        <x:v>ACTIVE/RECORDED</x:v>
      </x:c>
      <x:c r="M22" s="19" t="str">
        <x:v>Computers.pdf</x:v>
      </x:c>
      <x:c r="N22" s="19" t="n">
        <x:v>10</x:v>
      </x:c>
      <x:c r="O22" s="19" t="str">
        <x:v>Dell Optiplex 5090 SFF, Ci7/2.5/8GB/1TB/ 18.5/WIN10 Prof/3 Yrs) OptiPlex 5090 SFF XCTO, Intel Core i5-11500(6 Cores /12MB/12T/2.7GHz to 4.6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Warranty: 3 Years Next Business Day Onsite Service by DELL Sr. No 21QYHP3, G0QYHP3, 6HHXTN3, Monitor Sr. 748PGM3,88JVTK3,708NGM3</x:v>
      </x:c>
    </x:row>
    <x:row r="23" ht="34" customHeight="1">
      <x:c r="A23" s="19" t="str">
        <x:v>BAT0019</x:v>
      </x:c>
      <x:c r="B23" s="19" t="str">
        <x:v>LAB007</x:v>
      </x:c>
      <x:c r="C23" s="19" t="str">
        <x:v>MOD016</x:v>
      </x:c>
      <x:c r="D23" s="19" t="str">
        <x:v>SUP007</x:v>
      </x:c>
      <x:c r="E23" s="19" t="str">
        <x:v>001</x:v>
      </x:c>
      <x:c r="F23" s="28" t="n">
        <x:v>40848</x:v>
      </x:c>
      <x:c r="G23" s="19" t="str">
        <x:v>SUD011/1112/0454</x:v>
      </x:c>
      <x:c r="H23" s="19" t="n">
        <x:v>20</x:v>
      </x:c>
      <x:c r="I23" s="19" t="n">
        <x:v>8</x:v>
      </x:c>
      <x:c r="J23" s="26" t="n">
        <x:v>31600</x:v>
      </x:c>
      <x:c r="K23" s="26" t="n">
        <x:v>252800</x:v>
      </x:c>
      <x:c r="L23" s="19" t="str">
        <x:v>PARTIALLY_WRITTEN_OFF</x:v>
      </x:c>
      <x:c r="M23" s="19" t="str">
        <x:v>Computers.pdf</x:v>
      </x:c>
      <x:c r="N23" s="19" t="n">
        <x:v>11</x:v>
      </x:c>
      <x:c r="O23" s="19" t="str">
        <x:v>Dell Optiplex- 980 MT( Ci5 3.2/2GB/320/DRW/3 Year) Intel&amp;amp;#174; Core ™ (I5-650 3.2 Ghz, 4MB) Integrated Intel 657, Express Chipset Motherboard,2 GB NECC DDR3 1333 MHz SDRAM Memory,Ethernet LAN (10/100/1000),320 7.2 K RPM SATA Hard Drive,DVD RW,Int.Speaker,Optical USB Mouse, Keyboard,DOS Factory Installed,18.5 &amp;amp;quot; Dell wide TFT Monitor, 3 Year onsite Service DELL</x:v>
      </x:c>
    </x:row>
    <x:row r="24" ht="34" customHeight="1">
      <x:c r="A24" s="19" t="str">
        <x:v>BAT0020</x:v>
      </x:c>
      <x:c r="B24" s="19" t="str">
        <x:v>LAB007</x:v>
      </x:c>
      <x:c r="C24" s="19" t="str">
        <x:v>MOD017</x:v>
      </x:c>
      <x:c r="D24" s="19" t="str">
        <x:v>SUP007</x:v>
      </x:c>
      <x:c r="E24" s="19" t="str">
        <x:v>014</x:v>
      </x:c>
      <x:c r="F24" s="28" t="n">
        <x:v>43008</x:v>
      </x:c>
      <x:c r="G24" s="19" t="str">
        <x:v>VCPL-2/1718/1320</x:v>
      </x:c>
      <x:c r="H24" s="19" t="n">
        <x:v>7</x:v>
      </x:c>
      <x:c r="I24" s="19" t="n">
        <x:v>7</x:v>
      </x:c>
      <x:c r="J24" s="26" t="n">
        <x:v>44510</x:v>
      </x:c>
      <x:c r="K24" s="26" t="n">
        <x:v>311570</x:v>
      </x:c>
      <x:c r="L24" s="19" t="str">
        <x:v>OK</x:v>
      </x:c>
      <x:c r="M24" s="19" t="str">
        <x:v>Computers.pdf</x:v>
      </x:c>
      <x:c r="N24" s="19" t="n">
        <x:v>12</x:v>
      </x:c>
      <x:c r="O24" s="19" t="str">
        <x:v>Dell Optiplex3050M, Intel Core i7 Processor-770 (Quad Core, 8MB,8T 3.6 GHz, 65W); Spports Windows 10 / Linux 4 GB(1X4GB)2400Mhz DDR4 Memory, 1 TB 7.2K RPM SATA 6gbps Entry 3.5 inch SATAcabled Hard Drive, Integrated Intel HD Graphics, Dell OptiPlex VGA Video Port, Mini Tower, No PCI Add-in Card,No Wireless Card, Dell Optical Mouse MS116 Black, Dell Multimedia Keyboard KB216 Black Keyboard US International- (QWERTY) " Windows 10 Home(64bit) Single language English, Mini Tower Chasis +Standard 240 W SMPS,18.5" Dell 1916 HV Monitor. Warranty: 3 Year Next Bussiness Day Onsite Service By Del Dell</x:v>
      </x:c>
    </x:row>
    <x:row r="25" ht="34" customHeight="1">
      <x:c r="A25" s="19" t="str">
        <x:v>BAT0021</x:v>
      </x:c>
      <x:c r="B25" s="19" t="str">
        <x:v>LAB007</x:v>
      </x:c>
      <x:c r="C25" s="19" t="str">
        <x:v>MOD018</x:v>
      </x:c>
      <x:c r="D25" s="19" t="str">
        <x:v>SUP007</x:v>
      </x:c>
      <x:c r="E25" s="19" t="str">
        <x:v>016</x:v>
      </x:c>
      <x:c r="F25" s="28" t="n">
        <x:v>43542</x:v>
      </x:c>
      <x:c r="G25" s="19" t="str">
        <x:v>VCPL-2/1819/4597</x:v>
      </x:c>
      <x:c r="H25" s="19" t="n">
        <x:v>3</x:v>
      </x:c>
      <x:c r="I25" s="19" t="n">
        <x:v>3</x:v>
      </x:c>
      <x:c r="J25" s="26" t="n">
        <x:v>38300</x:v>
      </x:c>
      <x:c r="K25" s="26" t="n">
        <x:v>114900</x:v>
      </x:c>
      <x:c r="L25" s="19" t="str">
        <x:v>ACTIVE/RECORDED</x:v>
      </x:c>
      <x:c r="M25" s="19" t="str">
        <x:v>Computers.pdf</x:v>
      </x:c>
      <x:c r="N25" s="19" t="n">
        <x:v>13</x:v>
      </x:c>
      <x:c r="O25" s="19" t="str">
        <x:v>Dell Optiplex3050MT, (Ci5/3.4/4GB/1TB/DRW/18.5/3 Yr) Optiplex 3050 Mini Tower BTX Intel Core i5 Processor-7500 (Quad Core, 6MB,4T 3.4 GHz, 65W); 4 GB(1X4GB) 2400Mhz DDR4 Memory, 1 TB 7.2K RPM SATA 6gbps Entry 3.5 inch SATA cabled Hard Drive, tray load DVD Drive (Reads and Writes to DVD/CD) DVD +/- Bezel Monitor Power Cord (EURO-INDIA), 6A Kit- Power Cord, 5A VGA Port, Integrated Intel Graphics,No PCI Add-in Card,No Wireless Card, Dell Optical Mouse MS116 Black, Dell Multimedia Keyboard KB216 Black Keyboard US International-(QWERTY), Ubuntu Linux 16.04, standard 240 W SMPS,19" Dell E1916 HV Monitor. Warranty: 3 Year Next Bussiness Day Onsite Service By Dell Sr No.9P0LZL2, 9P1GZL2,9P01DZL2 Monitor: 5TLR7D2,3NLR7D2,4SLR7D2 (GST 18% Included) Dell</x:v>
      </x:c>
    </x:row>
    <x:row r="26" ht="34" customHeight="1">
      <x:c r="A26" s="19" t="str">
        <x:v>BAT0022</x:v>
      </x:c>
      <x:c r="B26" s="19" t="str">
        <x:v>LAB007</x:v>
      </x:c>
      <x:c r="C26" s="19" t="str">
        <x:v>MOD019</x:v>
      </x:c>
      <x:c r="D26" s="19" t="str">
        <x:v>SUP007</x:v>
      </x:c>
      <x:c r="E26" s="19" t="str">
        <x:v>021</x:v>
      </x:c>
      <x:c r="F26" s="28" t="n">
        <x:v>44257</x:v>
      </x:c>
      <x:c r="G26" s="19" t="str">
        <x:v>VCPL-2/2021/3632</x:v>
      </x:c>
      <x:c r="H26" s="19" t="n">
        <x:v>4</x:v>
      </x:c>
      <x:c r="I26" s="19" t="n">
        <x:v>4</x:v>
      </x:c>
      <x:c r="J26" s="26" t="n">
        <x:v>44650</x:v>
      </x:c>
      <x:c r="K26" s="26" t="n">
        <x:v>178600</x:v>
      </x:c>
      <x:c r="L26" s="19" t="str">
        <x:v>ACTIVE/RECORDED</x:v>
      </x:c>
      <x:c r="M26" s="19" t="str">
        <x:v>Computers.pdf</x:v>
      </x:c>
      <x:c r="N26" s="19" t="n">
        <x:v>14</x:v>
      </x:c>
      <x:c r="O26" s="19" t="str">
        <x:v>Dell Computers: Optiplex3080: SFF,(Ci5/3.6/8GB/1TB/WIN10Home/19.5/3 Yrs) Intel Core i5 Processor-10500 (12MB,3.6 GHz,Acceleration Use Only Intel Core i5-10500, 8GB(1X8GB) DDR4 Memory, 1 TB 7.2K RPM SATA , Integrated Intel HD Graphics, Dell OptiPlex VGA Video Port, Mini Tower, No PCI Add-in Card,No Wireless Card, Dell Optical Mouse MS116 Black, Dell Multimedia Keyboard KB216 Black Keyboard US International , Mini Tower Chasis +Standard 240 W SMPS,19.5" Dell E2020 H Monitor. DELL</x:v>
      </x:c>
    </x:row>
    <x:row r="27" ht="34" customHeight="1">
      <x:c r="A27" s="19" t="str">
        <x:v>BAT0023</x:v>
      </x:c>
      <x:c r="B27" s="19" t="str">
        <x:v>LAB007</x:v>
      </x:c>
      <x:c r="C27" s="19" t="str">
        <x:v>MOD005</x:v>
      </x:c>
      <x:c r="D27" s="19" t="str">
        <x:v>SUP007</x:v>
      </x:c>
      <x:c r="E27" s="19" t="str">
        <x:v>027</x:v>
      </x:c>
      <x:c r="F27" s="28" t="n">
        <x:v>44646</x:v>
      </x:c>
      <x:c r="G27" s="19" t="str">
        <x:v>VCPL-2/2122/3417</x:v>
      </x:c>
      <x:c r="H27" s="19" t="n">
        <x:v>8</x:v>
      </x:c>
      <x:c r="I27" s="19" t="n">
        <x:v>8</x:v>
      </x:c>
      <x:c r="J27" s="26" t="n">
        <x:v>75900</x:v>
      </x:c>
      <x:c r="K27" s="26" t="n">
        <x:v>607200</x:v>
      </x:c>
      <x:c r="L27" s="19" t="str">
        <x:v>ACTIVE/RECORDED</x:v>
      </x:c>
      <x:c r="M27" s="19" t="str">
        <x:v>Computers.pdf</x:v>
      </x:c>
      <x:c r="N27" s="19" t="n">
        <x:v>15</x:v>
      </x:c>
      <x:c r="O27" s="19" t="str">
        <x:v>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KB216B,Dell 19: Monitor E1920H, OptiPlex 5090 Small Form Factor with 200W Up to 85% Efficient power Supply Warranty: 3 Years Next Business Day Onsite Service by DELL Sr. No.30QYP3,10QYHP3,GZPYHP3,40QYHP 3,HZPYHP3,50QYHP3,20QYHP3 Monitor Sr. 7-bmgm3,748ngm3,6ywmgm3 DELL</x:v>
      </x:c>
    </x:row>
    <x:row r="28" ht="34" customHeight="1">
      <x:c r="A28" s="19" t="str">
        <x:v>BAT0024</x:v>
      </x:c>
      <x:c r="B28" s="19" t="str">
        <x:v>LAB007</x:v>
      </x:c>
      <x:c r="C28" s="19" t="str">
        <x:v>MOD020</x:v>
      </x:c>
      <x:c r="D28" s="19" t="str">
        <x:v>SUP007</x:v>
      </x:c>
      <x:c r="E28" s="19" t="str">
        <x:v>028</x:v>
      </x:c>
      <x:c r="F28" s="28" t="n">
        <x:v>44893</x:v>
      </x:c>
      <x:c r="G28" s="19" t="str">
        <x:v>VCPL-2/2223/2340</x:v>
      </x:c>
      <x:c r="H28" s="19" t="n">
        <x:v>5</x:v>
      </x:c>
      <x:c r="I28" s="19" t="n">
        <x:v>5</x:v>
      </x:c>
      <x:c r="J28" s="26" t="n">
        <x:v>91250</x:v>
      </x:c>
      <x:c r="K28" s="26" t="n">
        <x:v>456250</x:v>
      </x:c>
      <x:c r="L28" s="19" t="str">
        <x:v>ACTIVE/RECORDED</x:v>
      </x:c>
      <x:c r="M28" s="19" t="str">
        <x:v>Computers.pdf</x:v>
      </x:c>
      <x:c r="N28" s="19" t="n">
        <x:v>16</x:v>
      </x:c>
      <x:c r="O28" s="19" t="str">
        <x:v>Dell Optiplex 5000 MT, Ci7/2.1/8GB/512TB/ 18.5"/WIN10 Prof/19.5"/3 Yrs) OptiPlex 5000 Tower, Intel Core i7-12700(12 Cores/25MB/20T/2.1GHz to 4.9 Ghz/65W) support Win11/Win11 DG/ Linux) 8GB (1X8G) DDR4 non ECC Memory, M.2 2230 512 GB PCIe NVME Class 35 Solid State Drive (EM) Intel integrated graphics, Int Speaker, Thermal PAD for Tower, 6 Amp Power Cord, No Aditional Add in Cards, No PCIe add-in card, Dell USB Optical Mouse MS116-Black,Dell entry USB Keyboard KB216B,Dell 20: Monitor E2020H, Windows Pro(Included Win 11 Pro License) Warranty: 3 Years Next Business Day Onsite Service by DELL Sr. No.D566JT3,B566JT3,H566JT3,F566JT3,C5 66JT3 Monitor S ( GST 18% Included) DELL</x:v>
      </x:c>
    </x:row>
    <x:row r="29" ht="34" customHeight="1">
      <x:c r="A29" s="19" t="str">
        <x:v>BAT0025</x:v>
      </x:c>
      <x:c r="B29" s="19" t="str">
        <x:v>LAB008</x:v>
      </x:c>
      <x:c r="C29" s="19" t="str">
        <x:v>MOD021</x:v>
      </x:c>
      <x:c r="D29" s="19" t="str">
        <x:v>SUP007</x:v>
      </x:c>
      <x:c r="E29" s="19" t="str">
        <x:v>002</x:v>
      </x:c>
      <x:c r="F29" s="28" t="n">
        <x:v>41106</x:v>
      </x:c>
      <x:c r="G29" s="19" t="str">
        <x:v>SUD07/1213/0209</x:v>
      </x:c>
      <x:c r="H29" s="19" t="n">
        <x:v>15</x:v>
      </x:c>
      <x:c r="I29" s="19" t="n">
        <x:v>15</x:v>
      </x:c>
      <x:c r="J29" s="26" t="n">
        <x:v>31000</x:v>
      </x:c>
      <x:c r="K29" s="26" t="n">
        <x:v>465000</x:v>
      </x:c>
      <x:c r="L29" s="19" t="str">
        <x:v>ACTIVE/RECORDED</x:v>
      </x:c>
      <x:c r="M29" s="19" t="str">
        <x:v>Computers.pdf</x:v>
      </x:c>
      <x:c r="N29" s="19" t="n">
        <x:v>17</x:v>
      </x:c>
      <x:c r="O29" s="19" t="str">
        <x:v>DELL COMPUTERS : Dell Optiplex- 390 (Ci5/3.10/4GB/500/DRW/3Yr) Intel Core i5-2400 Processor (3.10 Ghz) HD Graphics,4 GB DDR3 SD RAM, 500 GB HDD SATA, Dell Optical Mous &amp; Keyboard. Dell Optiplex- 390</x:v>
      </x:c>
    </x:row>
    <x:row r="30" ht="34" customHeight="1">
      <x:c r="A30" s="19" t="str">
        <x:v>BAT0026</x:v>
      </x:c>
      <x:c r="B30" s="19" t="str">
        <x:v>LAB008</x:v>
      </x:c>
      <x:c r="C30" s="19" t="str">
        <x:v>MOD022</x:v>
      </x:c>
      <x:c r="D30" s="19" t="str">
        <x:v>SUP007</x:v>
      </x:c>
      <x:c r="E30" s="19" t="str">
        <x:v>006</x:v>
      </x:c>
      <x:c r="F30" s="28" t="n">
        <x:v>41540</x:v>
      </x:c>
      <x:c r="G30" s="19" t="str">
        <x:v>SUD09/1314/0631</x:v>
      </x:c>
      <x:c r="H30" s="19" t="n">
        <x:v>5</x:v>
      </x:c>
      <x:c r="I30" s="19" t="n">
        <x:v>5</x:v>
      </x:c>
      <x:c r="J30" s="26" t="n">
        <x:v>33600</x:v>
      </x:c>
      <x:c r="K30" s="26" t="n">
        <x:v>168000</x:v>
      </x:c>
      <x:c r="L30" s="19" t="str">
        <x:v>ACTIVE/RECORDED</x:v>
      </x:c>
      <x:c r="M30" s="19" t="str">
        <x:v>Computers.pdf</x:v>
      </x:c>
      <x:c r="N30" s="19" t="n">
        <x:v>17</x:v>
      </x:c>
      <x:c r="O30" s="19" t="str">
        <x:v>Dell Optiplex- 3010 (Ci5/3.20/4GB/500/DRW/3Yr) 3rd Generation 500 GB 7200 rpm Sata Hard Disk, 4 GB DDR3 RAM, DVD+/- RW, Chipset Motherboard, USB KB, Mouse, wide LED 18.5" Monitor, 3 Year Warranty. Dell Optiplex- 3010</x:v>
      </x:c>
    </x:row>
    <x:row r="31" ht="34" customHeight="1">
      <x:c r="A31" s="19" t="str">
        <x:v>BAT0027</x:v>
      </x:c>
      <x:c r="B31" s="19" t="str">
        <x:v>LAB008</x:v>
      </x:c>
      <x:c r="C31" s="19" t="str">
        <x:v>MOD010</x:v>
      </x:c>
      <x:c r="D31" s="19" t="str">
        <x:v>SUP007</x:v>
      </x:c>
      <x:c r="E31" s="19" t="str">
        <x:v>018</x:v>
      </x:c>
      <x:c r="F31" s="28" t="n">
        <x:v>43370</x:v>
      </x:c>
      <x:c r="G31" s="19" t="str">
        <x:v>VCPL-2/1819/2165</x:v>
      </x:c>
      <x:c r="H31" s="19" t="n">
        <x:v>4</x:v>
      </x:c>
      <x:c r="I31" s="19" t="n">
        <x:v>4</x:v>
      </x:c>
      <x:c r="J31" s="26" t="n">
        <x:v>47500</x:v>
      </x:c>
      <x:c r="K31" s="26" t="n">
        <x:v>190000</x:v>
      </x:c>
      <x:c r="L31" s="19" t="str">
        <x:v>OK</x:v>
      </x:c>
      <x:c r="M31" s="19" t="str">
        <x:v>Computers.pdf</x:v>
      </x:c>
      <x:c r="N31" s="19" t="n">
        <x:v>18</x:v>
      </x:c>
      <x:c r="O31" s="19" t="str">
        <x:v>Computers: Dell Optiflex 3060 MT (Ci7/4.6/4 GB/1 TB/18.5"/3 Year Intel Core i7 Processor-8700 (6 Core/12MB/12T/up to 4.6 GHz, 65W); Support Windows 10 / Linux 4 GB(1X4GB)2600Mhz DDR4 UDIMM nOn -ECC 3.5 inch 1 TB 7200 RPM SATA Hard Disk Drive Intel Integrated Graphics,Dell Optical Mouse MS116 Black, Dell Multimedia Keyboard KB216 Black Keyboard US International,optiplex3060Tower with 260W up to, 19" Dell 1916 HE Monitor,Ubuntu Linux 16.04, Warranty: 3 Year Next Business Day Onsite Service By Dell Sr. No.50W89R2,515C9R2,50XB9R2,513J9R2 DELL</x:v>
      </x:c>
    </x:row>
    <x:row r="32" ht="34" customHeight="1">
      <x:c r="A32" s="19" t="str">
        <x:v>BAT0028</x:v>
      </x:c>
      <x:c r="B32" s="19" t="str">
        <x:v>LAB008</x:v>
      </x:c>
      <x:c r="C32" s="19" t="str">
        <x:v>MOD023</x:v>
      </x:c>
      <x:c r="D32" s="19" t="str">
        <x:v>SUP007</x:v>
      </x:c>
      <x:c r="E32" s="19" t="str">
        <x:v>022</x:v>
      </x:c>
      <x:c r="F32" s="28" t="n">
        <x:v>45157</x:v>
      </x:c>
      <x:c r="G32" s="19" t="str">
        <x:v>VCPL-2/2324/1489</x:v>
      </x:c>
      <x:c r="H32" s="19" t="n">
        <x:v>4</x:v>
      </x:c>
      <x:c r="I32" s="19" t="n">
        <x:v>4</x:v>
      </x:c>
      <x:c r="J32" s="26" t="n">
        <x:v>91250</x:v>
      </x:c>
      <x:c r="K32" s="26" t="n">
        <x:v>365000</x:v>
      </x:c>
      <x:c r="L32" s="19" t="str">
        <x:v>ACTIVE/RECORDED</x:v>
      </x:c>
      <x:c r="M32" s="19" t="str">
        <x:v>Computers.pdf</x:v>
      </x:c>
      <x:c r="N32" s="19" t="n">
        <x:v>18</x:v>
      </x:c>
      <x:c r="O32" s="19" t="str">
        <x:v>OPTIPLEX 7000 SSF Desktop (Small Form Factor)( C i7/2.1/8 GB/512 GB/win 11 Pro, 3 Yrs) 12th Generation Intel® Core™ i7-12700 vPro®, 25MB cache, 12 cores, 20 threads, 2.10GHz to 4.90GHz, 65W) Support Win 11 DG/Linux) 8 GB (1X8 GB) DDR4 Non ECC Memory, M.2 2230 512 GB PCle, NVME Class 35 Solid State Drive(EM) USB Keyboard, Mouse, Windows 11 Pro, 19.5" Dell Wide LED Monitor, E2020H DELL</x:v>
      </x:c>
    </x:row>
    <x:row r="33" ht="34" customHeight="1">
      <x:c r="A33" s="19" t="str">
        <x:v>BAT0029</x:v>
      </x:c>
      <x:c r="B33" s="19" t="str">
        <x:v>LAB009</x:v>
      </x:c>
      <x:c r="C33" s="19" t="str">
        <x:v>MOD024</x:v>
      </x:c>
      <x:c r="D33" s="19" t="str">
        <x:v>SUP005</x:v>
      </x:c>
      <x:c r="E33" s="19" t="str">
        <x:v>001</x:v>
      </x:c>
      <x:c r="F33" s="28" t="n">
        <x:v>42286</x:v>
      </x:c>
      <x:c r="G33" s="19" t="str">
        <x:v>SUD10/1516/1201</x:v>
      </x:c>
      <x:c r="H33" s="19" t="n">
        <x:v>25</x:v>
      </x:c>
      <x:c r="I33" s="19" t="n">
        <x:v>25</x:v>
      </x:c>
      <x:c r="J33" s="26" t="n">
        <x:v>38500</x:v>
      </x:c>
      <x:c r="K33" s="26" t="n">
        <x:v>962500</x:v>
      </x:c>
      <x:c r="L33" s="19" t="str">
        <x:v>ACTIVE/RECORDED</x:v>
      </x:c>
      <x:c r="M33" s="19" t="str">
        <x:v>Computers.pdf</x:v>
      </x:c>
      <x:c r="N33" s="19" t="n">
        <x:v>19</x:v>
      </x:c>
      <x:c r="O33" s="19" t="str">
        <x:v>Dell Computers: Dell Optiplex 3020 Mini Tower, Intel Core I 5-4590 Processor Quad Core with Mini tower, HD Graphics, 4 GB 1 DiMM Non EDD, 500 GB HDD, DELL wide LED Monitor 18.5", Dell Optical Mouse &amp; USB KeyBoard Ubuntu Linux 12.04 3 Year Onsite Service (VAT @ 5 % included) DELL</x:v>
      </x:c>
    </x:row>
    <x:row r="34" ht="34" customHeight="1">
      <x:c r="A34" s="19" t="str">
        <x:v>BAT0030</x:v>
      </x:c>
      <x:c r="B34" s="19" t="str">
        <x:v>LAB009</x:v>
      </x:c>
      <x:c r="C34" s="19" t="str">
        <x:v>MOD025</x:v>
      </x:c>
      <x:c r="D34" s="19" t="str">
        <x:v>SUP007</x:v>
      </x:c>
      <x:c r="E34" s="19" t="str">
        <x:v>016</x:v>
      </x:c>
      <x:c r="F34" s="28" t="n">
        <x:v>45742</x:v>
      </x:c>
      <x:c r="G34" s="19" t="str">
        <x:v>VCPL-2/2425/3897</x:v>
      </x:c>
      <x:c r="H34" s="19" t="n">
        <x:v>35</x:v>
      </x:c>
      <x:c r="I34" s="19" t="n">
        <x:v>35</x:v>
      </x:c>
      <x:c r="J34" s="26" t="n">
        <x:v>98063</x:v>
      </x:c>
      <x:c r="K34" s="26" t="n">
        <x:v>3432205</x:v>
      </x:c>
      <x:c r="L34" s="19" t="str">
        <x:v>ACTIVE/RECORDED</x:v>
      </x:c>
      <x:c r="M34" s="19" t="str">
        <x:v>Computers.pdf</x:v>
      </x:c>
      <x:c r="N34" s="19" t="n">
        <x:v>19</x:v>
      </x:c>
      <x:c r="O34" s="19" t="str">
        <x:v>Computers: DELL OptiPlex 7020 SFF (Ci7/5.4/16GB/512GB SSD/WIN 11 Proff/21.5"/3Yrs) OptiPlex Tower Plus 7020 ХСТО Intel Core i7 processor 14700 vPro (33 MB cache, 20 cores, 28 threads, up to 5.4 GHz Turbo, 65W) 16 GB: 1 x 16 GB, DDR5 M.2 2280 512GB PCIe NVMe SSD Class 40 Intel Integrated Graphics System Power Cord India 6A Dell Multimedia Wired Keyboard-KB216 Black - US International Dell USB Optical Mouse-MS116 (EPEAT) - Black Dell 22 Monitor - E2225H, OptiPlex Tower Plus with 500W Platinum Power Supply Network Adapters (NIC) Windows 11 Pro, English, Warranty: 3 Years Next Business Day Onsite Service by DELL DELL</x:v>
      </x:c>
    </x:row>
    <x:row r="35" ht="34" customHeight="1">
      <x:c r="A35" s="19" t="str">
        <x:v>BAT0031</x:v>
      </x:c>
      <x:c r="B35" s="19" t="str">
        <x:v>LAB010</x:v>
      </x:c>
      <x:c r="C35" s="19" t="str">
        <x:v>MOD026</x:v>
      </x:c>
      <x:c r="D35" s="19" t="str">
        <x:v>SUP007</x:v>
      </x:c>
      <x:c r="E35" s="19" t="str">
        <x:v>004</x:v>
      </x:c>
      <x:c r="F35" s="28" t="n">
        <x:v>43984</x:v>
      </x:c>
      <x:c r="G35" s="19" t="str">
        <x:v>VCPL-2/2021/0210</x:v>
      </x:c>
      <x:c r="H35" s="19" t="n">
        <x:v>20</x:v>
      </x:c>
      <x:c r="I35" s="19" t="n">
        <x:v>20</x:v>
      </x:c>
      <x:c r="J35" s="26" t="n">
        <x:v>53000</x:v>
      </x:c>
      <x:c r="K35" s="26" t="n">
        <x:v>1060000</x:v>
      </x:c>
      <x:c r="L35" s="19" t="str">
        <x:v>TRANSFERRED_IN</x:v>
      </x:c>
      <x:c r="M35" s="19" t="str">
        <x:v>Computers.pdf</x:v>
      </x:c>
      <x:c r="N35" s="19" t="n">
        <x:v>20</x:v>
      </x:c>
      <x:c r="O35" s="19" t="str">
        <x:v>Computers: Lenovo Think Center M920(Ci7/3.0/4GB/1TB/WIN10Home/3Yrs) Processor Intel Core i7-9700, RAM 4 GB DDR4-2666, 1 TB HDD 7200 rpm, Lenovo Calliope Keyboard (USB Connector), Black Lenovo Mouse, Windows 10 Home 64 Bit, Warranty 3 Years by LED Monitor: 19.5" Lenovo wide Led Monitor E2054A ( GST 18 % Included) Lenovo Think Center M920</x:v>
      </x:c>
    </x:row>
    <x:row r="36" ht="34" customHeight="1">
      <x:c r="A36" s="19" t="str">
        <x:v>BAT0032</x:v>
      </x:c>
      <x:c r="B36" s="19" t="str">
        <x:v>LAB011</x:v>
      </x:c>
      <x:c r="C36" s="19" t="str">
        <x:v>MOD027</x:v>
      </x:c>
      <x:c r="D36" s="19" t="str">
        <x:v>SUP001</x:v>
      </x:c>
      <x:c r="E36" s="19" t="str">
        <x:v>001</x:v>
      </x:c>
      <x:c r="F36" s="28" t="n">
        <x:v>44281</x:v>
      </x:c>
      <x:c r="G36" s="19" t="str">
        <x:v>PI/1450/20-21</x:v>
      </x:c>
      <x:c r="H36" s="19" t="n">
        <x:v>22</x:v>
      </x:c>
      <x:c r="I36" s="19" t="n">
        <x:v>22</x:v>
      </x:c>
      <x:c r="J36" s="26" t="n">
        <x:v>85000</x:v>
      </x:c>
      <x:c r="K36" s="26" t="n">
        <x:v>1870000</x:v>
      </x:c>
      <x:c r="L36" s="19" t="str">
        <x:v>ACTIVE/RECORDED</x:v>
      </x:c>
      <x:c r="M36" s="19" t="str">
        <x:v>Computers.pdf</x:v>
      </x:c>
      <x:c r="N36" s="19" t="n">
        <x:v>21</x:v>
      </x:c>
      <x:c r="O36" s="19" t="str">
        <x:v>MAC All in One Desktop: 21.5 INCH 2.3 Ghz Dual Core 7th Generation Intel Core i5 Processor,8 GB RAM,256 GB SSD with Magic UPON Installation Activate 200 GB Cloud Space In Each Device Warranty-1 Year Apple</x:v>
      </x:c>
    </x:row>
    <x:row r="37" ht="34" customHeight="1">
      <x:c r="A37" s="19" t="str">
        <x:v>BAT0033</x:v>
      </x:c>
      <x:c r="B37" s="19" t="str">
        <x:v>LAB009</x:v>
      </x:c>
      <x:c r="C37" s="19" t="str">
        <x:v>MOD028</x:v>
      </x:c>
      <x:c r="D37" s="19" t="str">
        <x:v>SUP007</x:v>
      </x:c>
      <x:c r="E37" s="19" t="str">
        <x:v>014</x:v>
      </x:c>
      <x:c r="F37" s="28" t="n">
        <x:v>45742</x:v>
      </x:c>
      <x:c r="G37" s="19" t="str">
        <x:v>VCPL-2/2425/3888</x:v>
      </x:c>
      <x:c r="H37" s="19" t="n">
        <x:v>1</x:v>
      </x:c>
      <x:c r="I37" s="19" t="n">
        <x:v>1</x:v>
      </x:c>
      <x:c r="J37" s="26" t="n">
        <x:v>122130</x:v>
      </x:c>
      <x:c r="K37" s="26" t="n">
        <x:v>122130</x:v>
      </x:c>
      <x:c r="L37" s="19" t="str">
        <x:v>ACTIVE/RECORDED</x:v>
      </x:c>
      <x:c r="M37" s="19" t="str">
        <x:v>Interactive Panel.pdf</x:v>
      </x:c>
      <x:c r="N37" s="19" t="n">
        <x:v>1</x:v>
      </x:c>
      <x:c r="O37" s="19" t="str">
        <x:v>BenQ Interactive Flat Panel 75" - RE7504-4k-64GB Hardware Specification: 75"IFP Resolution EDLA Certifies Google Play Store official Google Services Android 13.0, 8GB RAM, 64 GB, Octacore98Core) processor-CPU/GPU-A73X4 +A53X4 G52 MP8/20W*2 Speaker, Type C Port 65 W, Split Screen Option, Memory Card Slot Touch Accuracy1.0 mm, 40 Touch Tech Precision IT Tech with Zero Bonding Technology Warranty- 3 Year NBD on site Services by BenQ Sr. No. Eik8R0016805X (18 % GST Included) BenQ</x:v>
      </x:c>
    </x:row>
    <x:row r="38" ht="34" customHeight="1">
      <x:c r="A38" s="19" t="str">
        <x:v>BAT0034</x:v>
      </x:c>
      <x:c r="B38" s="19" t="str">
        <x:v>LAB009</x:v>
      </x:c>
      <x:c r="C38" s="19" t="str">
        <x:v>MOD029</x:v>
      </x:c>
      <x:c r="D38" s="19" t="str">
        <x:v>SUP007</x:v>
      </x:c>
      <x:c r="E38" s="19" t="str">
        <x:v>015</x:v>
      </x:c>
      <x:c r="F38" s="28" t="n">
        <x:v>45742</x:v>
      </x:c>
      <x:c r="G38" s="19" t="str">
        <x:v>VCPL-2/2425/3888</x:v>
      </x:c>
      <x:c r="H38" s="19" t="n">
        <x:v>1</x:v>
      </x:c>
      <x:c r="I38" s="19" t="n">
        <x:v>1</x:v>
      </x:c>
      <x:c r="J38" s="26" t="n">
        <x:v>31270</x:v>
      </x:c>
      <x:c r="K38" s="26" t="n">
        <x:v>31270</x:v>
      </x:c>
      <x:c r="L38" s="19" t="str">
        <x:v>ACTIVE/RECORDED</x:v>
      </x:c>
      <x:c r="M38" s="19" t="str">
        <x:v>Interactive Panel.pdf</x:v>
      </x:c>
      <x:c r="N38" s="19" t="n">
        <x:v>1</x:v>
      </x:c>
      <x:c r="O38" s="19" t="str">
        <x:v>(Ci5/12th Generation /8GB/512GB SSD/WIN 11/3Yrs) Intel Core Ci5, 12Th Generation Processor no, Ram: 8GB Storage: 512GB SSD OS: WIN 11 Professional Warranty: 3 Years Sr.No: P20241213180 (18 % GST Included)</x:v>
      </x:c>
    </x:row>
    <x:row r="39" ht="34" customHeight="1">
      <x:c r="A39" s="19" t="str">
        <x:v>BAT0035</x:v>
      </x:c>
      <x:c r="B39" s="19" t="str">
        <x:v>LAB001</x:v>
      </x:c>
      <x:c r="C39" s="19" t="str">
        <x:v>MOD030</x:v>
      </x:c>
      <x:c r="D39" s="19" t="str">
        <x:v>SUP007</x:v>
      </x:c>
      <x:c r="E39" s="19" t="str">
        <x:v>035</x:v>
      </x:c>
      <x:c r="F39" s="28"/>
      <x:c r="G39" s="19" t="str"/>
      <x:c r="H39" s="19" t="n">
        <x:v>1</x:v>
      </x:c>
      <x:c r="I39" s="19" t="n">
        <x:v>1</x:v>
      </x:c>
      <x:c r="J39" s="26"/>
      <x:c r="K39" s="26"/>
      <x:c r="L39" s="19" t="str">
        <x:v>ACTIVE/RECORDED</x:v>
      </x:c>
      <x:c r="M39" s="19" t="str">
        <x:v>Laptop.pdf</x:v>
      </x:c>
      <x:c r="N39" s="19" t="n">
        <x:v>1</x:v>
      </x:c>
      <x:c r="O39" s="19" t="str">
        <x:v>LAPTOP: DELL VOSTRO Dell</x:v>
      </x:c>
    </x:row>
    <x:row r="40" ht="34" customHeight="1">
      <x:c r="A40" s="19" t="str">
        <x:v>BAT0036</x:v>
      </x:c>
      <x:c r="B40" s="19" t="str">
        <x:v>LAB002</x:v>
      </x:c>
      <x:c r="C40" s="19" t="str">
        <x:v>MOD031</x:v>
      </x:c>
      <x:c r="D40" s="19" t="str">
        <x:v>SUP007</x:v>
      </x:c>
      <x:c r="E40" s="19" t="str">
        <x:v>022</x:v>
      </x:c>
      <x:c r="F40" s="28" t="n">
        <x:v>40423</x:v>
      </x:c>
      <x:c r="G40" s="19" t="str">
        <x:v>SUD09/0910/0238</x:v>
      </x:c>
      <x:c r="H40" s="19" t="n">
        <x:v>1</x:v>
      </x:c>
      <x:c r="I40" s="19" t="n">
        <x:v>1</x:v>
      </x:c>
      <x:c r="J40" s="26" t="n">
        <x:v>36750</x:v>
      </x:c>
      <x:c r="K40" s="26" t="n">
        <x:v>36750</x:v>
      </x:c>
      <x:c r="L40" s="19" t="str">
        <x:v>ACTIVE/RECORDED</x:v>
      </x:c>
      <x:c r="M40" s="19" t="str">
        <x:v>Laptop.pdf</x:v>
      </x:c>
      <x:c r="N40" s="19" t="n">
        <x:v>2</x:v>
      </x:c>
      <x:c r="O40" s="19" t="str">
        <x:v>Laptop, Dell Vostro 3400 Laptop, (CI3/2.4/2GB/320/DRW/3 Year), CORE I3 370 (2.4 GHz, Dual Core 4T 3 MB L3 C Dell</x:v>
      </x:c>
    </x:row>
    <x:row r="41" ht="34" customHeight="1">
      <x:c r="A41" s="19" t="str">
        <x:v>BAT0037</x:v>
      </x:c>
      <x:c r="B41" s="19" t="str">
        <x:v>LAB004</x:v>
      </x:c>
      <x:c r="C41" s="19" t="str">
        <x:v>MOD030</x:v>
      </x:c>
      <x:c r="D41" s="19" t="str">
        <x:v>SUP005</x:v>
      </x:c>
      <x:c r="E41" s="19" t="str">
        <x:v>023</x:v>
      </x:c>
      <x:c r="F41" s="28"/>
      <x:c r="G41" s="19" t="str">
        <x:v>Bill not processed</x:v>
      </x:c>
      <x:c r="H41" s="19" t="n">
        <x:v>1</x:v>
      </x:c>
      <x:c r="I41" s="19" t="n">
        <x:v>1</x:v>
      </x:c>
      <x:c r="J41" s="26"/>
      <x:c r="K41" s="26"/>
      <x:c r="L41" s="19" t="str">
        <x:v>ACTIVE/RECORDED</x:v>
      </x:c>
      <x:c r="M41" s="19" t="str">
        <x:v>Laptop.pdf</x:v>
      </x:c>
      <x:c r="N41" s="19" t="n">
        <x:v>3</x:v>
      </x:c>
      <x:c r="O41" s="19" t="str">
        <x:v>Laptop: DELL Vostro Dell</x:v>
      </x:c>
    </x:row>
    <x:row r="42" ht="34" customHeight="1">
      <x:c r="A42" s="19" t="str">
        <x:v>BAT0038</x:v>
      </x:c>
      <x:c r="B42" s="19" t="str">
        <x:v>LAB005</x:v>
      </x:c>
      <x:c r="C42" s="19" t="str">
        <x:v>MOD032</x:v>
      </x:c>
      <x:c r="D42" s="19" t="str">
        <x:v>SUP005</x:v>
      </x:c>
      <x:c r="E42" s="19" t="str">
        <x:v>017</x:v>
      </x:c>
      <x:c r="F42" s="28" t="n">
        <x:v>40226</x:v>
      </x:c>
      <x:c r="G42" s="19" t="str"/>
      <x:c r="H42" s="19" t="n">
        <x:v>1</x:v>
      </x:c>
      <x:c r="I42" s="19" t="n">
        <x:v>1</x:v>
      </x:c>
      <x:c r="J42" s="26"/>
      <x:c r="K42" s="26"/>
      <x:c r="L42" s="19" t="str">
        <x:v>ACTIVE/RECORDED</x:v>
      </x:c>
      <x:c r="M42" s="19" t="str">
        <x:v>Laptop.pdf</x:v>
      </x:c>
      <x:c r="N42" s="19" t="n">
        <x:v>4</x:v>
      </x:c>
      <x:c r="O42" s="19" t="str">
        <x:v>Laptop: Infosys campus connect laptop Sr. no. 76141829 Toshiba Portage (free of cost) Toshiba</x:v>
      </x:c>
    </x:row>
    <x:row r="43" ht="34" customHeight="1">
      <x:c r="A43" s="19" t="str">
        <x:v>BAT0039</x:v>
      </x:c>
      <x:c r="B43" s="19" t="str">
        <x:v>LAB008</x:v>
      </x:c>
      <x:c r="C43" s="19" t="str">
        <x:v>MOD033</x:v>
      </x:c>
      <x:c r="D43" s="19" t="str">
        <x:v>SUP004</x:v>
      </x:c>
      <x:c r="E43" s="19" t="str">
        <x:v>011</x:v>
      </x:c>
      <x:c r="F43" s="28" t="n">
        <x:v>42082</x:v>
      </x:c>
      <x:c r="G43" s="19" t="str">
        <x:v>2623</x:v>
      </x:c>
      <x:c r="H43" s="19" t="n">
        <x:v>1</x:v>
      </x:c>
      <x:c r="I43" s="19" t="n">
        <x:v>1</x:v>
      </x:c>
      <x:c r="J43" s="26" t="n">
        <x:v>76650</x:v>
      </x:c>
      <x:c r="K43" s="26" t="n">
        <x:v>76650</x:v>
      </x:c>
      <x:c r="L43" s="19" t="str">
        <x:v>ACTIVE/RECORDED</x:v>
      </x:c>
      <x:c r="M43" s="19" t="str">
        <x:v>Laptop.pdf</x:v>
      </x:c>
      <x:c r="N43" s="19" t="n">
        <x:v>5</x:v>
      </x:c>
      <x:c r="O43" s="19" t="str">
        <x:v>Laptop HP Envy 15 K 203 TX Sr. No. 5CD4485C75 with Bag Pack ( Include Output VAT @ 5 %) HP Envy</x:v>
      </x:c>
    </x:row>
    <x:row r="44" ht="34" customHeight="1">
      <x:c r="A44" s="19" t="str">
        <x:v>BAT0040</x:v>
      </x:c>
      <x:c r="B44" s="19" t="str">
        <x:v>LAB008</x:v>
      </x:c>
      <x:c r="C44" s="19" t="str">
        <x:v>MOD033</x:v>
      </x:c>
      <x:c r="D44" s="19" t="str">
        <x:v>SUP004</x:v>
      </x:c>
      <x:c r="E44" s="19" t="str">
        <x:v>012</x:v>
      </x:c>
      <x:c r="F44" s="28" t="n">
        <x:v>42082</x:v>
      </x:c>
      <x:c r="G44" s="19" t="str">
        <x:v>2624</x:v>
      </x:c>
      <x:c r="H44" s="19" t="n">
        <x:v>1</x:v>
      </x:c>
      <x:c r="I44" s="19" t="n">
        <x:v>1</x:v>
      </x:c>
      <x:c r="J44" s="26" t="n">
        <x:v>76650</x:v>
      </x:c>
      <x:c r="K44" s="26" t="n">
        <x:v>76650</x:v>
      </x:c>
      <x:c r="L44" s="19" t="str">
        <x:v>ACTIVE/RECORDED</x:v>
      </x:c>
      <x:c r="M44" s="19" t="str">
        <x:v>Laptop.pdf</x:v>
      </x:c>
      <x:c r="N44" s="19" t="n">
        <x:v>5</x:v>
      </x:c>
      <x:c r="O44" s="19" t="str">
        <x:v>Laptop HP Envy 15 K 203 TX Sr. No. 5CD4485C76 with Bag Pack ( Include Output VAT @ 5 %) Laptop HP Envy</x:v>
      </x:c>
    </x:row>
    <x:row r="45" ht="34" customHeight="1">
      <x:c r="A45" s="19" t="str">
        <x:v>BAT0041</x:v>
      </x:c>
      <x:c r="B45" s="19" t="str">
        <x:v>LAB001</x:v>
      </x:c>
      <x:c r="C45" s="19" t="str">
        <x:v>MOD034</x:v>
      </x:c>
      <x:c r="D45" s="19" t="str">
        <x:v>SUP002</x:v>
      </x:c>
      <x:c r="E45" s="19" t="str">
        <x:v>040</x:v>
      </x:c>
      <x:c r="F45" s="28" t="n">
        <x:v>43826</x:v>
      </x:c>
      <x:c r="G45" s="19" t="str">
        <x:v>27T19201901322</x:v>
      </x:c>
      <x:c r="H45" s="19" t="n">
        <x:v>1</x:v>
      </x:c>
      <x:c r="I45" s="19" t="n">
        <x:v>1</x:v>
      </x:c>
      <x:c r="J45" s="26" t="n">
        <x:v>118060</x:v>
      </x:c>
      <x:c r="K45" s="26" t="n">
        <x:v>118060</x:v>
      </x:c>
      <x:c r="L45" s="19" t="str">
        <x:v>ACTIVE/RECORDED</x:v>
      </x:c>
      <x:c r="M45" s="19" t="str">
        <x:v>LCD Projector.pdf</x:v>
      </x:c>
      <x:c r="N45" s="19" t="n">
        <x:v>1</x:v>
      </x:c>
      <x:c r="O45" s="19" t="str">
        <x:v>Digital Board: Samsung LH65WMRWBGCXXL Flip 65"2.0 with 3 Year warranty Intractive Digital Board Including Fixing and setting uo the equipment wall mounting with at the institute, Configuring all the software associated with IT and D Link 10 Mtr Patch cord cable Samsung</x:v>
      </x:c>
    </x:row>
    <x:row r="46" ht="34" customHeight="1">
      <x:c r="A46" s="19" t="str">
        <x:v>BAT0042</x:v>
      </x:c>
      <x:c r="B46" s="19" t="str">
        <x:v>LAB002</x:v>
      </x:c>
      <x:c r="C46" s="19" t="str">
        <x:v>MOD035</x:v>
      </x:c>
      <x:c r="D46" s="19" t="str">
        <x:v>SUP007</x:v>
      </x:c>
      <x:c r="E46" s="19" t="str">
        <x:v>036</x:v>
      </x:c>
      <x:c r="F46" s="28" t="n">
        <x:v>44581</x:v>
      </x:c>
      <x:c r="G46" s="19" t="str">
        <x:v>VCPL-2/2122/2703</x:v>
      </x:c>
      <x:c r="H46" s="19" t="n">
        <x:v>1</x:v>
      </x:c>
      <x:c r="I46" s="19" t="n">
        <x:v>1</x:v>
      </x:c>
      <x:c r="J46" s="26" t="n">
        <x:v>32500</x:v>
      </x:c>
      <x:c r="K46" s="26" t="n">
        <x:v>32500</x:v>
      </x:c>
      <x:c r="L46" s="19" t="str">
        <x:v>ACTIVE/RECORDED</x:v>
      </x:c>
      <x:c r="M46" s="19" t="str">
        <x:v>LCD Projector.pdf</x:v>
      </x:c>
      <x:c r="N46" s="19" t="n">
        <x:v>2</x:v>
      </x:c>
      <x:c r="O46" s="19" t="str">
        <x:v>Projector: Epson EB-E01 -V11H971056 3 LCD Technology and 3,300 Lumens Warranty 24 Months for projector and 12 Month or 1,000 hours for lamp Sr. No.X88Z1900870 ( GST28% Included) Epson</x:v>
      </x:c>
    </x:row>
    <x:row r="47" ht="34" customHeight="1">
      <x:c r="A47" s="19" t="str">
        <x:v>BAT0043</x:v>
      </x:c>
      <x:c r="B47" s="19" t="str">
        <x:v>LAB002</x:v>
      </x:c>
      <x:c r="C47" s="19" t="str">
        <x:v>MOD035</x:v>
      </x:c>
      <x:c r="D47" s="19" t="str">
        <x:v>SUP007</x:v>
      </x:c>
      <x:c r="E47" s="19" t="str">
        <x:v>038</x:v>
      </x:c>
      <x:c r="F47" s="28" t="n">
        <x:v>44893</x:v>
      </x:c>
      <x:c r="G47" s="19" t="str">
        <x:v>VCPL-2/2223/2339</x:v>
      </x:c>
      <x:c r="H47" s="19" t="n">
        <x:v>1</x:v>
      </x:c>
      <x:c r="I47" s="19" t="n">
        <x:v>1</x:v>
      </x:c>
      <x:c r="J47" s="26" t="n">
        <x:v>32499</x:v>
      </x:c>
      <x:c r="K47" s="26" t="n">
        <x:v>32499</x:v>
      </x:c>
      <x:c r="L47" s="19" t="str">
        <x:v>ACTIVE/RECORDED</x:v>
      </x:c>
      <x:c r="M47" s="19" t="str">
        <x:v>LCD Projector.pdf</x:v>
      </x:c>
      <x:c r="N47" s="19" t="n">
        <x:v>2</x:v>
      </x:c>
      <x:c r="O47" s="19" t="str">
        <x:v>Epson EB-E01 -V11H971056 3 LCD Technology and 3,300 Lumens Warranty 24 Months for projector and 12 Month or 1,000 hours for lamp Sr. No.X88Z1900870 ( GST28% Included) Epson</x:v>
      </x:c>
    </x:row>
    <x:row r="48" ht="34" customHeight="1">
      <x:c r="A48" s="19" t="str">
        <x:v>BAT0044</x:v>
      </x:c>
      <x:c r="B48" s="19" t="str">
        <x:v>LAB003</x:v>
      </x:c>
      <x:c r="C48" s="19" t="str">
        <x:v>MOD036</x:v>
      </x:c>
      <x:c r="D48" s="19" t="str">
        <x:v>SUP007</x:v>
      </x:c>
      <x:c r="E48" s="19" t="str">
        <x:v>038</x:v>
      </x:c>
      <x:c r="F48" s="28" t="n">
        <x:v>41944</x:v>
      </x:c>
      <x:c r="G48" s="19" t="str">
        <x:v>SUD11/1415/0897</x:v>
      </x:c>
      <x:c r="H48" s="19" t="n">
        <x:v>1</x:v>
      </x:c>
      <x:c r="I48" s="19" t="n">
        <x:v>1</x:v>
      </x:c>
      <x:c r="J48" s="26" t="n">
        <x:v>30800</x:v>
      </x:c>
      <x:c r="K48" s="26" t="n">
        <x:v>30800</x:v>
      </x:c>
      <x:c r="L48" s="19" t="str">
        <x:v>ACTIVE/RECORDED</x:v>
      </x:c>
      <x:c r="M48" s="19" t="str">
        <x:v>LCD Projector.pdf</x:v>
      </x:c>
      <x:c r="N48" s="19" t="n">
        <x:v>3</x:v>
      </x:c>
      <x:c r="O48" s="19" t="str">
        <x:v>Projector : Projector Epson EB X03 2 Years Warranty for projector 1 Year or 1000 Hours Warranty for Bulb ( 12.50 % VAT) Epson</x:v>
      </x:c>
    </x:row>
    <x:row r="49" ht="34" customHeight="1">
      <x:c r="A49" s="19" t="str">
        <x:v>BAT0045</x:v>
      </x:c>
      <x:c r="B49" s="19" t="str">
        <x:v>LAB003</x:v>
      </x:c>
      <x:c r="C49" s="19" t="str">
        <x:v>MOD035</x:v>
      </x:c>
      <x:c r="D49" s="19" t="str">
        <x:v>SUP007</x:v>
      </x:c>
      <x:c r="E49" s="19" t="str">
        <x:v>051</x:v>
      </x:c>
      <x:c r="F49" s="28" t="n">
        <x:v>44893</x:v>
      </x:c>
      <x:c r="G49" s="19" t="str">
        <x:v>VCPL-2/2223/2339</x:v>
      </x:c>
      <x:c r="H49" s="19" t="n">
        <x:v>1</x:v>
      </x:c>
      <x:c r="I49" s="19" t="n">
        <x:v>1</x:v>
      </x:c>
      <x:c r="J49" s="26" t="n">
        <x:v>32499</x:v>
      </x:c>
      <x:c r="K49" s="26" t="n">
        <x:v>32499</x:v>
      </x:c>
      <x:c r="L49" s="19" t="str">
        <x:v>ACTIVE/RECORDED</x:v>
      </x:c>
      <x:c r="M49" s="19" t="str">
        <x:v>LCD Projector.pdf</x:v>
      </x:c>
      <x:c r="N49" s="19" t="n">
        <x:v>3</x:v>
      </x:c>
      <x:c r="O49" s="19" t="str">
        <x:v>Epson EB-E01 -V11H971056 3 LCD Technology and 3,300 Lumens Warranty 24 Months for projector and 12 Month or 1,000 hours for lamp Sr. No.X88Z1900870 ( GST28% Included) ePSON</x:v>
      </x:c>
    </x:row>
    <x:row r="50" ht="34" customHeight="1">
      <x:c r="A50" s="19" t="str">
        <x:v>BAT0046</x:v>
      </x:c>
      <x:c r="B50" s="19" t="str">
        <x:v>LAB004</x:v>
      </x:c>
      <x:c r="C50" s="19" t="str">
        <x:v>MOD037</x:v>
      </x:c>
      <x:c r="D50" s="19" t="str">
        <x:v>SUP007</x:v>
      </x:c>
      <x:c r="E50" s="19" t="str">
        <x:v>022</x:v>
      </x:c>
      <x:c r="F50" s="28" t="n">
        <x:v>41304</x:v>
      </x:c>
      <x:c r="G50" s="19" t="str">
        <x:v>SUD01/1213/789</x:v>
      </x:c>
      <x:c r="H50" s="19" t="n">
        <x:v>1</x:v>
      </x:c>
      <x:c r="I50" s="19" t="n">
        <x:v>1</x:v>
      </x:c>
      <x:c r="J50" s="26" t="n">
        <x:v>32600</x:v>
      </x:c>
      <x:c r="K50" s="26" t="n">
        <x:v>32600</x:v>
      </x:c>
      <x:c r="L50" s="19" t="str">
        <x:v>ACTIVE/RECORDED</x:v>
      </x:c>
      <x:c r="M50" s="19" t="str">
        <x:v>LCD Projector.pdf</x:v>
      </x:c>
      <x:c r="N50" s="19" t="n">
        <x:v>4</x:v>
      </x:c>
      <x:c r="O50" s="19" t="str">
        <x:v>Projector: EPSON EB X12 Sr. No. 2 Year Warranty for projector, 1 Year or 500 Hours Warranty for Bulb whichever is earlier. Out put VAT 12.5 % Epson EBX12</x:v>
      </x:c>
    </x:row>
    <x:row r="51" ht="34" customHeight="1">
      <x:c r="A51" s="19" t="str">
        <x:v>BAT0047</x:v>
      </x:c>
      <x:c r="B51" s="19" t="str">
        <x:v>LAB004</x:v>
      </x:c>
      <x:c r="C51" s="19" t="str">
        <x:v>MOD036</x:v>
      </x:c>
      <x:c r="D51" s="19" t="str">
        <x:v>SUP007</x:v>
      </x:c>
      <x:c r="E51" s="19" t="str">
        <x:v>024</x:v>
      </x:c>
      <x:c r="F51" s="28" t="n">
        <x:v>41944</x:v>
      </x:c>
      <x:c r="G51" s="19" t="str">
        <x:v>SUD11/1415/0897</x:v>
      </x:c>
      <x:c r="H51" s="19" t="n">
        <x:v>1</x:v>
      </x:c>
      <x:c r="I51" s="19" t="n">
        <x:v>1</x:v>
      </x:c>
      <x:c r="J51" s="26" t="n">
        <x:v>30800</x:v>
      </x:c>
      <x:c r="K51" s="26" t="n">
        <x:v>30800</x:v>
      </x:c>
      <x:c r="L51" s="19" t="str">
        <x:v>ACTIVE/RECORDED</x:v>
      </x:c>
      <x:c r="M51" s="19" t="str">
        <x:v>LCD Projector.pdf</x:v>
      </x:c>
      <x:c r="N51" s="19" t="n">
        <x:v>4</x:v>
      </x:c>
      <x:c r="O51" s="19" t="str">
        <x:v>Projector Epson EB X03 2 Years Warranty for projector 1 Year or 1000 Hours Warranty for Bulb ( 12.50 % VAT) Epson EBX03</x:v>
      </x:c>
    </x:row>
    <x:row r="52" ht="34" customHeight="1">
      <x:c r="A52" s="19" t="str">
        <x:v>BAT0048</x:v>
      </x:c>
      <x:c r="B52" s="19" t="str">
        <x:v>LAB004</x:v>
      </x:c>
      <x:c r="C52" s="19" t="str">
        <x:v>MOD038</x:v>
      </x:c>
      <x:c r="D52" s="19" t="str">
        <x:v>SUP007</x:v>
      </x:c>
      <x:c r="E52" s="19" t="str">
        <x:v>031</x:v>
      </x:c>
      <x:c r="F52" s="28" t="n">
        <x:v>43888</x:v>
      </x:c>
      <x:c r="G52" s="19" t="str">
        <x:v>VCPL-2/1920/4342</x:v>
      </x:c>
      <x:c r="H52" s="19" t="n">
        <x:v>1</x:v>
      </x:c>
      <x:c r="I52" s="19" t="n">
        <x:v>1</x:v>
      </x:c>
      <x:c r="J52" s="26" t="n">
        <x:v>33500</x:v>
      </x:c>
      <x:c r="K52" s="26" t="n">
        <x:v>33500</x:v>
      </x:c>
      <x:c r="L52" s="19" t="str">
        <x:v>ACTIVE/RECORDED</x:v>
      </x:c>
      <x:c r="M52" s="19" t="str">
        <x:v>LCD Projector.pdf</x:v>
      </x:c>
      <x:c r="N52" s="19" t="n">
        <x:v>4</x:v>
      </x:c>
      <x:c r="O52" s="19" t="str">
        <x:v>Projector: Epson EB-X05-V11H839056 Warranty: 2 Years onsite Service for Projector &amp; 1 year Or 1000 Hours- Whichever Comes First, By EPSON( GST Included 28 %) EPSON</x:v>
      </x:c>
    </x:row>
    <x:row r="53" ht="34" customHeight="1">
      <x:c r="A53" s="19" t="str">
        <x:v>BAT0049</x:v>
      </x:c>
      <x:c r="B53" s="19" t="str">
        <x:v>LAB005</x:v>
      </x:c>
      <x:c r="C53" s="19" t="str">
        <x:v>MOD037</x:v>
      </x:c>
      <x:c r="D53" s="19" t="str">
        <x:v>SUP007</x:v>
      </x:c>
      <x:c r="E53" s="19" t="str">
        <x:v>023</x:v>
      </x:c>
      <x:c r="F53" s="28" t="n">
        <x:v>41304</x:v>
      </x:c>
      <x:c r="G53" s="19" t="str">
        <x:v>SUD01/1213/789</x:v>
      </x:c>
      <x:c r="H53" s="19" t="n">
        <x:v>1</x:v>
      </x:c>
      <x:c r="I53" s="19" t="n">
        <x:v>1</x:v>
      </x:c>
      <x:c r="J53" s="26" t="n">
        <x:v>32600</x:v>
      </x:c>
      <x:c r="K53" s="26" t="n">
        <x:v>32600</x:v>
      </x:c>
      <x:c r="L53" s="19" t="str">
        <x:v>ACTIVE/RECORDED</x:v>
      </x:c>
      <x:c r="M53" s="19" t="str">
        <x:v>LCD Projector.pdf</x:v>
      </x:c>
      <x:c r="N53" s="19" t="n">
        <x:v>5</x:v>
      </x:c>
      <x:c r="O53" s="19" t="str">
        <x:v>EPSON EB X12 Sr. No. 2 Year Warranty for projector, 1 Year or 500 Hours Warranty for Bulb whichever is earlier. (Including Out put VAT @12.5 %) Epson</x:v>
      </x:c>
    </x:row>
    <x:row r="54" ht="34" customHeight="1">
      <x:c r="A54" s="19" t="str">
        <x:v>BAT0050</x:v>
      </x:c>
      <x:c r="B54" s="19" t="str">
        <x:v>LAB006</x:v>
      </x:c>
      <x:c r="C54" s="19" t="str">
        <x:v>MOD035</x:v>
      </x:c>
      <x:c r="D54" s="19" t="str">
        <x:v>SUP007</x:v>
      </x:c>
      <x:c r="E54" s="19" t="str">
        <x:v>039</x:v>
      </x:c>
      <x:c r="F54" s="28" t="n">
        <x:v>44581</x:v>
      </x:c>
      <x:c r="G54" s="19" t="str">
        <x:v>VCPL-2/2122/2703</x:v>
      </x:c>
      <x:c r="H54" s="19" t="n">
        <x:v>1</x:v>
      </x:c>
      <x:c r="I54" s="19" t="n">
        <x:v>1</x:v>
      </x:c>
      <x:c r="J54" s="26" t="n">
        <x:v>32500</x:v>
      </x:c>
      <x:c r="K54" s="26" t="n">
        <x:v>32500</x:v>
      </x:c>
      <x:c r="L54" s="19" t="str">
        <x:v>ACTIVE/RECORDED</x:v>
      </x:c>
      <x:c r="M54" s="19" t="str">
        <x:v>LCD Projector.pdf</x:v>
      </x:c>
      <x:c r="N54" s="19" t="n">
        <x:v>6</x:v>
      </x:c>
      <x:c r="O54" s="19" t="str">
        <x:v>Projector: Epson EB-E01 -V11H971056 3 LCD Technology and 3,300 Lumens Warranty 24 Months for projector and 12 Month or 1,000 hours for lamp Sr. No.( GST28% Included)</x:v>
      </x:c>
    </x:row>
    <x:row r="55" ht="34" customHeight="1">
      <x:c r="A55" s="19" t="str">
        <x:v>BAT0051</x:v>
      </x:c>
      <x:c r="B55" s="19" t="str">
        <x:v>LAB007</x:v>
      </x:c>
      <x:c r="C55" s="19" t="str">
        <x:v>MOD039</x:v>
      </x:c>
      <x:c r="D55" s="19" t="str">
        <x:v>SUP007</x:v>
      </x:c>
      <x:c r="E55" s="19" t="str">
        <x:v>002</x:v>
      </x:c>
      <x:c r="F55" s="28" t="n">
        <x:v>40927</x:v>
      </x:c>
      <x:c r="G55" s="19" t="str">
        <x:v>SUD01/1112/0771</x:v>
      </x:c>
      <x:c r="H55" s="19" t="n">
        <x:v>1</x:v>
      </x:c>
      <x:c r="I55" s="19" t="n">
        <x:v>1</x:v>
      </x:c>
      <x:c r="J55" s="26" t="n">
        <x:v>33187</x:v>
      </x:c>
      <x:c r="K55" s="26" t="n">
        <x:v>33187</x:v>
      </x:c>
      <x:c r="L55" s="19" t="str">
        <x:v>OK</x:v>
      </x:c>
      <x:c r="M55" s="19" t="str">
        <x:v>LCD Projector.pdf</x:v>
      </x:c>
      <x:c r="N55" s="19" t="n">
        <x:v>7</x:v>
      </x:c>
      <x:c r="O55" s="19" t="str">
        <x:v>Epson EB X 10, 2 Year Warranty for Projector, 1 Year Warranty for Bulb Out put VAT 12.5 % Included) EPSON</x:v>
      </x:c>
    </x:row>
    <x:row r="56" ht="34" customHeight="1">
      <x:c r="A56" s="19" t="str">
        <x:v>BAT0052</x:v>
      </x:c>
      <x:c r="B56" s="19" t="str">
        <x:v>LAB008</x:v>
      </x:c>
      <x:c r="C56" s="19" t="str">
        <x:v>MOD035</x:v>
      </x:c>
      <x:c r="D56" s="19" t="str">
        <x:v>SUP007</x:v>
      </x:c>
      <x:c r="E56" s="19" t="str">
        <x:v>023</x:v>
      </x:c>
      <x:c r="F56" s="28" t="n">
        <x:v>45309</x:v>
      </x:c>
      <x:c r="G56" s="19" t="str">
        <x:v>VCPL-2/2324/2993</x:v>
      </x:c>
      <x:c r="H56" s="19" t="n">
        <x:v>1</x:v>
      </x:c>
      <x:c r="I56" s="19" t="n">
        <x:v>1</x:v>
      </x:c>
      <x:c r="J56" s="26" t="n">
        <x:v>31853</x:v>
      </x:c>
      <x:c r="K56" s="26" t="n">
        <x:v>31853</x:v>
      </x:c>
      <x:c r="L56" s="19" t="str">
        <x:v>ACTIVE/RECORDED</x:v>
      </x:c>
      <x:c r="M56" s="19" t="str">
        <x:v>LCD Projector.pdf</x:v>
      </x:c>
      <x:c r="N56" s="19" t="n">
        <x:v>8</x:v>
      </x:c>
      <x:c r="O56" s="19" t="str">
        <x:v>Epson EB-E01 V11H971056 3LCD Technology and 3300 lumens Warranty 36 months for Projector and 12 Months or 1000 hours for Lamp, Sr. No. X88z3x07010 (GST 28% Included) Epson</x:v>
      </x:c>
    </x:row>
    <x:row r="57" ht="34" customHeight="1">
      <x:c r="A57" s="19" t="str">
        <x:v>BAT0053</x:v>
      </x:c>
      <x:c r="B57" s="19" t="str">
        <x:v>LAB011</x:v>
      </x:c>
      <x:c r="C57" s="19" t="str">
        <x:v>MOD035</x:v>
      </x:c>
      <x:c r="D57" s="19" t="str">
        <x:v>SUP007</x:v>
      </x:c>
      <x:c r="E57" s="19" t="str">
        <x:v>002</x:v>
      </x:c>
      <x:c r="F57" s="28" t="n">
        <x:v>44583</x:v>
      </x:c>
      <x:c r="G57" s="19" t="str">
        <x:v>VCPL/2/2122/2703</x:v>
      </x:c>
      <x:c r="H57" s="19" t="n">
        <x:v>1</x:v>
      </x:c>
      <x:c r="I57" s="19" t="n">
        <x:v>1</x:v>
      </x:c>
      <x:c r="J57" s="26" t="n">
        <x:v>32500</x:v>
      </x:c>
      <x:c r="K57" s="26" t="n">
        <x:v>32500</x:v>
      </x:c>
      <x:c r="L57" s="19" t="str">
        <x:v>ACTIVE/RECORDED</x:v>
      </x:c>
      <x:c r="M57" s="19" t="str">
        <x:v>LCD Projector.pdf</x:v>
      </x:c>
      <x:c r="N57" s="19" t="n">
        <x:v>9</x:v>
      </x:c>
      <x:c r="O57" s="19" t="str">
        <x:v>Projector Epson EB-E01-V11H971056 3LCD Technology and 3300 lumens warranry 24month for projector and 12 months or 1000 hours for lamp Sr X88Z1900870X88Z1Y00227X88Z1Y00050 EPSON</x:v>
      </x:c>
    </x:row>
    <x:row r="58" ht="34" customHeight="1">
      <x:c r="A58" s="19" t="str">
        <x:v>BAT0054</x:v>
      </x:c>
      <x:c r="B58" s="19" t="str">
        <x:v>LAB002</x:v>
      </x:c>
      <x:c r="C58" s="19" t="str">
        <x:v>MOD040</x:v>
      </x:c>
      <x:c r="D58" s="19" t="str">
        <x:v>SUP007</x:v>
      </x:c>
      <x:c r="E58" s="19" t="str">
        <x:v>021</x:v>
      </x:c>
      <x:c r="F58" s="28" t="n">
        <x:v>40423</x:v>
      </x:c>
      <x:c r="G58" s="19" t="str">
        <x:v>SUD09/0910/0238</x:v>
      </x:c>
      <x:c r="H58" s="19" t="n">
        <x:v>1</x:v>
      </x:c>
      <x:c r="I58" s="19" t="n">
        <x:v>1</x:v>
      </x:c>
      <x:c r="J58" s="26" t="n">
        <x:v>10100</x:v>
      </x:c>
      <x:c r="K58" s="26" t="n">
        <x:v>10100</x:v>
      </x:c>
      <x:c r="L58" s="19" t="str">
        <x:v>ACTIVE/RECORDED</x:v>
      </x:c>
      <x:c r="M58" s="19" t="str">
        <x:v>Printer.pdf</x:v>
      </x:c>
      <x:c r="N58" s="19" t="n">
        <x:v>1</x:v>
      </x:c>
      <x:c r="O58" s="19" t="str">
        <x:v>HP Laserjet MFP 1136, Print Scan Copy, Upto 15 ppm 1200 DPI Resolution Effective Output, 32 MB RAM, 230 Mhz Processor, 150 sheet paper Tray Input, 1 Year Warranty, Sr. No. CNC 9B6XKG5 HP</x:v>
      </x:c>
    </x:row>
    <x:row r="59" ht="34" customHeight="1">
      <x:c r="A59" s="19" t="str">
        <x:v>BAT0055</x:v>
      </x:c>
      <x:c r="B59" s="19" t="str">
        <x:v>LAB003</x:v>
      </x:c>
      <x:c r="C59" s="19" t="str">
        <x:v>MOD041</x:v>
      </x:c>
      <x:c r="D59" s="19" t="str">
        <x:v>SUP007</x:v>
      </x:c>
      <x:c r="E59" s="19" t="str">
        <x:v>019</x:v>
      </x:c>
      <x:c r="F59" s="28" t="n">
        <x:v>38588</x:v>
      </x:c>
      <x:c r="G59" s="19" t="str">
        <x:v>Aug-110</x:v>
      </x:c>
      <x:c r="H59" s="19" t="n">
        <x:v>1</x:v>
      </x:c>
      <x:c r="I59" s="19" t="n">
        <x:v>1</x:v>
      </x:c>
      <x:c r="J59" s="26" t="n">
        <x:v>20192</x:v>
      </x:c>
      <x:c r="K59" s="26" t="n">
        <x:v>20192</x:v>
      </x:c>
      <x:c r="L59" s="19" t="str">
        <x:v>ACTIVE/RECORDED</x:v>
      </x:c>
      <x:c r="M59" s="19" t="str">
        <x:v>Printer.pdf</x:v>
      </x:c>
      <x:c r="N59" s="19" t="n">
        <x:v>2</x:v>
      </x:c>
      <x:c r="O59" s="19" t="str">
        <x:v>Printer, HP LJ 3020 (Sr. No. SGBSX88075) HP</x:v>
      </x:c>
    </x:row>
    <x:row r="60" ht="34" customHeight="1">
      <x:c r="A60" s="19" t="str">
        <x:v>BAT0056</x:v>
      </x:c>
      <x:c r="B60" s="19" t="str">
        <x:v>LAB003</x:v>
      </x:c>
      <x:c r="C60" s="19" t="str">
        <x:v>MOD042</x:v>
      </x:c>
      <x:c r="D60" s="19" t="str">
        <x:v>SUP007</x:v>
      </x:c>
      <x:c r="E60" s="19" t="str">
        <x:v>053</x:v>
      </x:c>
      <x:c r="F60" s="28" t="n">
        <x:v>45314</x:v>
      </x:c>
      <x:c r="G60" s="19" t="str">
        <x:v>VCPL-2/2324/3051</x:v>
      </x:c>
      <x:c r="H60" s="19" t="n">
        <x:v>1</x:v>
      </x:c>
      <x:c r="I60" s="19" t="n">
        <x:v>1</x:v>
      </x:c>
      <x:c r="J60" s="26" t="n">
        <x:v>15547</x:v>
      </x:c>
      <x:c r="K60" s="26" t="n">
        <x:v>15547</x:v>
      </x:c>
      <x:c r="L60" s="19" t="str">
        <x:v>ACTIVE/RECORDED</x:v>
      </x:c>
      <x:c r="M60" s="19" t="str">
        <x:v>Printer.pdf</x:v>
      </x:c>
      <x:c r="N60" s="19" t="n">
        <x:v>2</x:v>
      </x:c>
      <x:c r="O60"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S2LY338134 ( GST 18 % Included) Epson</x:v>
      </x:c>
    </x:row>
    <x:row r="61" ht="34" customHeight="1">
      <x:c r="A61" s="19" t="str">
        <x:v>BAT0057</x:v>
      </x:c>
      <x:c r="B61" s="19" t="str">
        <x:v>LAB004</x:v>
      </x:c>
      <x:c r="C61" s="19" t="str">
        <x:v>MOD043</x:v>
      </x:c>
      <x:c r="D61" s="19" t="str">
        <x:v>SUP007</x:v>
      </x:c>
      <x:c r="E61" s="19" t="str">
        <x:v>027</x:v>
      </x:c>
      <x:c r="F61" s="28" t="n">
        <x:v>42286</x:v>
      </x:c>
      <x:c r="G61" s="19" t="str">
        <x:v>SUD10/1516/1201</x:v>
      </x:c>
      <x:c r="H61" s="19" t="n">
        <x:v>1</x:v>
      </x:c>
      <x:c r="I61" s="19" t="n">
        <x:v>1</x:v>
      </x:c>
      <x:c r="J61" s="26" t="n">
        <x:v>12000</x:v>
      </x:c>
      <x:c r="K61" s="26" t="n">
        <x:v>12000</x:v>
      </x:c>
      <x:c r="L61" s="19" t="str">
        <x:v>ACTIVE/RECORDED</x:v>
      </x:c>
      <x:c r="M61" s="19" t="str">
        <x:v>Printer.pdf</x:v>
      </x:c>
      <x:c r="N61" s="19" t="n">
        <x:v>3</x:v>
      </x:c>
      <x:c r="O61" s="19" t="str">
        <x:v>HP LJ MFP 1005 1 Year Onsite Service by HP (VAT @5% included) HP 1005</x:v>
      </x:c>
    </x:row>
    <x:row r="62" ht="34" customHeight="1">
      <x:c r="A62" s="19" t="str">
        <x:v>BAT0058</x:v>
      </x:c>
      <x:c r="B62" s="19" t="str">
        <x:v>LAB005</x:v>
      </x:c>
      <x:c r="C62" s="19" t="str">
        <x:v>MOD044</x:v>
      </x:c>
      <x:c r="D62" s="19" t="str">
        <x:v>SUP007</x:v>
      </x:c>
      <x:c r="E62" s="19" t="str">
        <x:v>021</x:v>
      </x:c>
      <x:c r="F62" s="28" t="n">
        <x:v>40985</x:v>
      </x:c>
      <x:c r="G62" s="19" t="str">
        <x:v>SUD03/1112/1017</x:v>
      </x:c>
      <x:c r="H62" s="19" t="n">
        <x:v>1</x:v>
      </x:c>
      <x:c r="I62" s="19" t="n">
        <x:v>1</x:v>
      </x:c>
      <x:c r="J62" s="26" t="n">
        <x:v>14385</x:v>
      </x:c>
      <x:c r="K62" s="26" t="n">
        <x:v>14385</x:v>
      </x:c>
      <x:c r="L62" s="19" t="str">
        <x:v>ACTIVE/RECORDED</x:v>
      </x:c>
      <x:c r="M62" s="19" t="str">
        <x:v>Printer.pdf</x:v>
      </x:c>
      <x:c r="N62" s="19" t="n">
        <x:v>4</x:v>
      </x:c>
      <x:c r="O62" s="19" t="str">
        <x:v>Printer : HP Laserjet CP-1025 Sr. No. 1 Year Warranty HP</x:v>
      </x:c>
    </x:row>
    <x:row r="63" ht="34" customHeight="1">
      <x:c r="A63" s="19" t="str">
        <x:v>BAT0059</x:v>
      </x:c>
      <x:c r="B63" s="19" t="str">
        <x:v>LAB006</x:v>
      </x:c>
      <x:c r="C63" s="19" t="str">
        <x:v>MOD045</x:v>
      </x:c>
      <x:c r="D63" s="19" t="str">
        <x:v>SUP007</x:v>
      </x:c>
      <x:c r="E63" s="19" t="str">
        <x:v>037</x:v>
      </x:c>
      <x:c r="F63" s="28" t="n">
        <x:v>42620</x:v>
      </x:c>
      <x:c r="G63" s="19" t="str">
        <x:v>SUD09/1617/0567</x:v>
      </x:c>
      <x:c r="H63" s="19" t="n">
        <x:v>1</x:v>
      </x:c>
      <x:c r="I63" s="19" t="n">
        <x:v>1</x:v>
      </x:c>
      <x:c r="J63" s="26" t="n">
        <x:v>13999.99</x:v>
      </x:c>
      <x:c r="K63" s="26" t="n">
        <x:v>13999.99</x:v>
      </x:c>
      <x:c r="L63" s="19" t="str">
        <x:v>ACTIVE/RECORDED</x:v>
      </x:c>
      <x:c r="M63" s="19" t="str">
        <x:v>Printer.pdf</x:v>
      </x:c>
      <x:c r="N63" s="19" t="n">
        <x:v>5</x:v>
      </x:c>
      <x:c r="O63" s="19" t="str">
        <x:v>Printer: HP Laserjet MFP 1005, Print resolution-True 1200X1200 DPI, Print Speed-14 PPM, USB Connectivity,Economode Print Quality Setting Print, Economode Compatible with 12A Toner Warrenty 1 Year on site service hy HP. HP</x:v>
      </x:c>
    </x:row>
    <x:row r="64" ht="34" customHeight="1">
      <x:c r="A64" s="19" t="str">
        <x:v>BAT0060</x:v>
      </x:c>
      <x:c r="B64" s="19" t="str">
        <x:v>LAB006</x:v>
      </x:c>
      <x:c r="C64" s="19" t="str">
        <x:v>MOD042</x:v>
      </x:c>
      <x:c r="D64" s="19" t="str">
        <x:v>SUP007</x:v>
      </x:c>
      <x:c r="E64" s="19" t="str">
        <x:v>041</x:v>
      </x:c>
      <x:c r="F64" s="28" t="n">
        <x:v>44893</x:v>
      </x:c>
      <x:c r="G64" s="19" t="str">
        <x:v>VCPL-2/2223/2339</x:v>
      </x:c>
      <x:c r="H64" s="19" t="n">
        <x:v>1</x:v>
      </x:c>
      <x:c r="I64" s="19" t="n">
        <x:v>1</x:v>
      </x:c>
      <x:c r="J64" s="26" t="n">
        <x:v>15500</x:v>
      </x:c>
      <x:c r="K64" s="26" t="n">
        <x:v>15500</x:v>
      </x:c>
      <x:c r="L64" s="19" t="str">
        <x:v>ACTIVE/RECORDED</x:v>
      </x:c>
      <x:c r="M64" s="19" t="str">
        <x:v>Printer.pdf</x:v>
      </x:c>
      <x:c r="N64" s="19" t="n">
        <x:v>5</x:v>
      </x:c>
      <x:c r="O64"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S2LY322882 ( GST 18 % Included) Epson</x:v>
      </x:c>
    </x:row>
    <x:row r="65" ht="34" customHeight="1">
      <x:c r="A65" s="19" t="str">
        <x:v>BAT0061</x:v>
      </x:c>
      <x:c r="B65" s="19" t="str">
        <x:v>LAB007</x:v>
      </x:c>
      <x:c r="C65" s="19" t="str">
        <x:v>MOD046</x:v>
      </x:c>
      <x:c r="D65" s="19" t="str">
        <x:v>SUP003</x:v>
      </x:c>
      <x:c r="E65" s="19" t="str">
        <x:v>004</x:v>
      </x:c>
      <x:c r="F65" s="28" t="n">
        <x:v>41528</x:v>
      </x:c>
      <x:c r="G65" s="19" t="str">
        <x:v>SUD-09/0012</x:v>
      </x:c>
      <x:c r="H65" s="19" t="n">
        <x:v>1</x:v>
      </x:c>
      <x:c r="I65" s="19" t="n">
        <x:v>1</x:v>
      </x:c>
      <x:c r="J65" s="26" t="n">
        <x:v>11800</x:v>
      </x:c>
      <x:c r="K65" s="26" t="n">
        <x:v>11800</x:v>
      </x:c>
      <x:c r="L65" s="19" t="str">
        <x:v>OK</x:v>
      </x:c>
      <x:c r="M65" s="19" t="str">
        <x:v>Printer.pdf</x:v>
      </x:c>
      <x:c r="N65" s="19" t="n">
        <x:v>6</x:v>
      </x:c>
      <x:c r="O65" s="19" t="str">
        <x:v>HP 1005 (A10) All in One printer with scan, Copy &amp; Print Option Warranty 1 Year Sr. No. CNH8F33G (Including 5% @ VAT) HP</x:v>
      </x:c>
    </x:row>
    <x:row r="66" ht="34" customHeight="1">
      <x:c r="A66" s="19" t="str">
        <x:v>BAT0062</x:v>
      </x:c>
      <x:c r="B66" s="19" t="str">
        <x:v>LAB009</x:v>
      </x:c>
      <x:c r="C66" s="19" t="str">
        <x:v>MOD045</x:v>
      </x:c>
      <x:c r="D66" s="19" t="str">
        <x:v>SUP007</x:v>
      </x:c>
      <x:c r="E66" s="19" t="str">
        <x:v>002</x:v>
      </x:c>
      <x:c r="F66" s="28" t="n">
        <x:v>42620</x:v>
      </x:c>
      <x:c r="G66" s="19" t="str">
        <x:v>SUD09/1617/0567</x:v>
      </x:c>
      <x:c r="H66" s="19" t="n">
        <x:v>1</x:v>
      </x:c>
      <x:c r="I66" s="19" t="n">
        <x:v>1</x:v>
      </x:c>
      <x:c r="J66" s="26" t="n">
        <x:v>13999.99</x:v>
      </x:c>
      <x:c r="K66" s="26" t="n">
        <x:v>13999.99</x:v>
      </x:c>
      <x:c r="L66" s="19" t="str">
        <x:v>ACTIVE/RECORDED</x:v>
      </x:c>
      <x:c r="M66" s="19" t="str">
        <x:v>Printer.pdf</x:v>
      </x:c>
      <x:c r="N66" s="19" t="n">
        <x:v>7</x:v>
      </x:c>
      <x:c r="O66" s="19" t="str">
        <x:v>Printer: HP Laserjet MFP 1005, Print resolution-True 1200X1200 DPI, Print Speed-14 PPM, USB Connectivity,Economode Print Quality Setting Print, Economode Compatible with 12A Toner Warrenty 1 Year on site service hy HP. HP</x:v>
      </x:c>
    </x:row>
    <x:row r="67" ht="34" customHeight="1">
      <x:c r="A67" s="19" t="str">
        <x:v>BAT0063</x:v>
      </x:c>
      <x:c r="B67" s="19" t="str">
        <x:v>LAB010</x:v>
      </x:c>
      <x:c r="C67" s="19" t="str">
        <x:v>MOD042</x:v>
      </x:c>
      <x:c r="D67" s="19" t="str">
        <x:v>SUP007</x:v>
      </x:c>
      <x:c r="E67" s="19" t="str">
        <x:v>006</x:v>
      </x:c>
      <x:c r="F67" s="28" t="n">
        <x:v>44893</x:v>
      </x:c>
      <x:c r="G67" s="19" t="str">
        <x:v>VCPL-2/2223/2339</x:v>
      </x:c>
      <x:c r="H67" s="19" t="n">
        <x:v>1</x:v>
      </x:c>
      <x:c r="I67" s="19" t="n">
        <x:v>1</x:v>
      </x:c>
      <x:c r="J67" s="26" t="n">
        <x:v>15500</x:v>
      </x:c>
      <x:c r="K67" s="26" t="n">
        <x:v>15500</x:v>
      </x:c>
      <x:c r="L67" s="19" t="str">
        <x:v>ACTIVE/RECORDED</x:v>
      </x:c>
      <x:c r="M67" s="19" t="str">
        <x:v>Printer.pdf</x:v>
      </x:c>
      <x:c r="N67" s="19" t="n">
        <x:v>8</x:v>
      </x:c>
      <x:c r="O67"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S2LY322880 ( GST 18 % Included) Epson</x:v>
      </x:c>
    </x:row>
    <x:row r="68" ht="34" customHeight="1">
      <x:c r="A68" s="19" t="str">
        <x:v>BAT0064</x:v>
      </x:c>
      <x:c r="B68" s="19" t="str">
        <x:v>LAB011</x:v>
      </x:c>
      <x:c r="C68" s="19" t="str">
        <x:v>MOD042</x:v>
      </x:c>
      <x:c r="D68" s="19" t="str">
        <x:v>SUP007</x:v>
      </x:c>
      <x:c r="E68" s="19" t="str">
        <x:v>003</x:v>
      </x:c>
      <x:c r="F68" s="28" t="n">
        <x:v>45314</x:v>
      </x:c>
      <x:c r="G68" s="19" t="str">
        <x:v>VCPL-2/2324/3051</x:v>
      </x:c>
      <x:c r="H68" s="19" t="n">
        <x:v>1</x:v>
      </x:c>
      <x:c r="I68" s="19" t="n">
        <x:v>1</x:v>
      </x:c>
      <x:c r="J68" s="26" t="n">
        <x:v>15547</x:v>
      </x:c>
      <x:c r="K68" s="26" t="n">
        <x:v>15547</x:v>
      </x:c>
      <x:c r="L68" s="19" t="str">
        <x:v>ACTIVE/RECORDED</x:v>
      </x:c>
      <x:c r="M68" s="19" t="str">
        <x:v>Printer.pdf</x:v>
      </x:c>
      <x:c r="N68" s="19" t="n">
        <x:v>9</x:v>
      </x:c>
      <x:c r="O68" s="19" t="str">
        <x:v>Printer: 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S2LY338134 ( GST 18 % Included) Epson</x:v>
      </x:c>
    </x:row>
    <x:row r="69" ht="34" customHeight="1">
      <x:c r="A69" s="19" t="str">
        <x:v>BAT0065</x:v>
      </x:c>
      <x:c r="B69" s="19" t="str">
        <x:v>LAB001</x:v>
      </x:c>
      <x:c r="C69" s="19" t="str">
        <x:v>MOD047</x:v>
      </x:c>
      <x:c r="D69" s="19" t="str">
        <x:v>SUP006</x:v>
      </x:c>
      <x:c r="E69" s="19" t="str">
        <x:v>026</x:v>
      </x:c>
      <x:c r="F69" s="28" t="n">
        <x:v>38957</x:v>
      </x:c>
      <x:c r="G69" s="19" t="str">
        <x:v>2006-270</x:v>
      </x:c>
      <x:c r="H69" s="19" t="n">
        <x:v>1</x:v>
      </x:c>
      <x:c r="I69" s="19" t="n">
        <x:v>1</x:v>
      </x:c>
      <x:c r="J69" s="26" t="n">
        <x:v>98000</x:v>
      </x:c>
      <x:c r="K69" s="26" t="n">
        <x:v>98000</x:v>
      </x:c>
      <x:c r="L69" s="19" t="str">
        <x:v>ACTIVE/RECORDED</x:v>
      </x:c>
      <x:c r="M69" s="19" t="str">
        <x:v>UPS.pdf</x:v>
      </x:c>
      <x:c r="N69" s="19" t="n">
        <x:v>1</x:v>
      </x:c>
      <x:c r="O69" s="19" t="str">
        <x:v>Online UPS (Power Bank, 6000 Liebert Make) Sr. No. 200630J1410 Liebert</x:v>
      </x:c>
    </x:row>
    <x:row r="70" ht="34" customHeight="1">
      <x:c r="A70" s="19" t="str">
        <x:v>BAT0066</x:v>
      </x:c>
      <x:c r="B70" s="19" t="str">
        <x:v>LAB001</x:v>
      </x:c>
      <x:c r="C70" s="19" t="str">
        <x:v>MOD048</x:v>
      </x:c>
      <x:c r="D70" s="19" t="str">
        <x:v>SUP007</x:v>
      </x:c>
      <x:c r="E70" s="19" t="str">
        <x:v>041</x:v>
      </x:c>
      <x:c r="F70" s="28" t="n">
        <x:v>44594</x:v>
      </x:c>
      <x:c r="G70" s="19" t="str">
        <x:v>VCPL-2/2122/2860</x:v>
      </x:c>
      <x:c r="H70" s="19" t="n">
        <x:v>1</x:v>
      </x:c>
      <x:c r="I70" s="19" t="n">
        <x:v>1</x:v>
      </x:c>
      <x:c r="J70" s="26" t="n">
        <x:v>84000</x:v>
      </x:c>
      <x:c r="K70" s="26" t="n">
        <x:v>84000</x:v>
      </x:c>
      <x:c r="L70" s="19" t="str">
        <x:v>ACTIVE/RECORDED</x:v>
      </x:c>
      <x:c r="M70" s="19" t="str">
        <x:v>UPS.pdf</x:v>
      </x:c>
      <x:c r="N70" s="19" t="n">
        <x:v>1</x:v>
      </x:c>
      <x:c r="O70"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D2202499 ( Including CGST &amp; SGST 18 % ) Renutron</x:v>
      </x:c>
    </x:row>
    <x:row r="71" ht="34" customHeight="1">
      <x:c r="A71" s="19" t="str">
        <x:v>BAT0067</x:v>
      </x:c>
      <x:c r="B71" s="19" t="str">
        <x:v>LAB002</x:v>
      </x:c>
      <x:c r="C71" s="19" t="str">
        <x:v>MOD049</x:v>
      </x:c>
      <x:c r="D71" s="19" t="str">
        <x:v>SUP007</x:v>
      </x:c>
      <x:c r="E71" s="19" t="str">
        <x:v>013</x:v>
      </x:c>
      <x:c r="F71" s="28" t="n">
        <x:v>38576</x:v>
      </x:c>
      <x:c r="G71" s="19" t="str"/>
      <x:c r="H71" s="19" t="n">
        <x:v>1</x:v>
      </x:c>
      <x:c r="I71" s="19" t="n">
        <x:v>1</x:v>
      </x:c>
      <x:c r="J71" s="26" t="n">
        <x:v>78000</x:v>
      </x:c>
      <x:c r="K71" s="26" t="n">
        <x:v>78000</x:v>
      </x:c>
      <x:c r="L71" s="19" t="str">
        <x:v>NOT_REPAIRABLE</x:v>
      </x:c>
      <x:c r="M71" s="19" t="str">
        <x:v>UPS.pdf</x:v>
      </x:c>
      <x:c r="N71" s="19" t="n">
        <x:v>2</x:v>
      </x:c>
      <x:c r="O71" s="19" t="str">
        <x:v>4 KVA Online With 3x12v 74 AH Batteries (Sr. No. 0508286) Model- RPC ONLINE Sealed Lead Acid Maintainance free Batteries - 6 RPC Online</x:v>
      </x:c>
    </x:row>
    <x:row r="72" ht="34" customHeight="1">
      <x:c r="A72" s="19" t="str">
        <x:v>BAT0068</x:v>
      </x:c>
      <x:c r="B72" s="19" t="str">
        <x:v>LAB002</x:v>
      </x:c>
      <x:c r="C72" s="19" t="str">
        <x:v>MOD048</x:v>
      </x:c>
      <x:c r="D72" s="19" t="str">
        <x:v>SUP007</x:v>
      </x:c>
      <x:c r="E72" s="19" t="str">
        <x:v>035</x:v>
      </x:c>
      <x:c r="F72" s="28" t="n">
        <x:v>44594</x:v>
      </x:c>
      <x:c r="G72" s="19" t="str">
        <x:v>VCPL-2/2122/2860</x:v>
      </x:c>
      <x:c r="H72" s="19" t="n">
        <x:v>1</x:v>
      </x:c>
      <x:c r="I72" s="19" t="n">
        <x:v>1</x:v>
      </x:c>
      <x:c r="J72" s="26" t="n">
        <x:v>84000</x:v>
      </x:c>
      <x:c r="K72" s="26" t="n">
        <x:v>84000</x:v>
      </x:c>
      <x:c r="L72" s="19" t="str">
        <x:v>ACTIVE/RECORDED</x:v>
      </x:c>
      <x:c r="M72" s="19" t="str">
        <x:v>UPS.pdf</x:v>
      </x:c>
      <x:c r="N72" s="19" t="n">
        <x:v>2</x:v>
      </x:c>
      <x:c r="O72"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D2202500 ( Including CGST &amp; SGST 18 % ) Renutron</x:v>
      </x:c>
    </x:row>
    <x:row r="73" ht="34" customHeight="1">
      <x:c r="A73" s="19" t="str">
        <x:v>BAT0069</x:v>
      </x:c>
      <x:c r="B73" s="19" t="str">
        <x:v>LAB003</x:v>
      </x:c>
      <x:c r="C73" s="19" t="str">
        <x:v>MOD050</x:v>
      </x:c>
      <x:c r="D73" s="19" t="str">
        <x:v>SUP007</x:v>
      </x:c>
      <x:c r="E73" s="19" t="str">
        <x:v>045</x:v>
      </x:c>
      <x:c r="F73" s="28" t="n">
        <x:v>43021</x:v>
      </x:c>
      <x:c r="G73" s="19" t="str">
        <x:v>VCPL-2/1718/1504</x:v>
      </x:c>
      <x:c r="H73" s="19" t="n">
        <x:v>1</x:v>
      </x:c>
      <x:c r="I73" s="19" t="n">
        <x:v>1</x:v>
      </x:c>
      <x:c r="J73" s="26" t="n">
        <x:v>124000</x:v>
      </x:c>
      <x:c r="K73" s="26" t="n">
        <x:v>124000</x:v>
      </x:c>
      <x:c r="L73" s="19" t="str">
        <x:v>ACTIVE/RECORDED</x:v>
      </x:c>
      <x:c r="M73" s="19" t="str">
        <x:v>UPS.pdf</x:v>
      </x:c>
      <x:c r="N73" s="19" t="n">
        <x:v>3</x:v>
      </x:c>
      <x:c r="O73"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,QUANTA SMF Battery 12 Volt 42 AH Qty. 12 (Warranty- 2 Years) &amp; Warrenty: 3Years on Site By RENUTRON Sr. No 1710082 Renutron</x:v>
      </x:c>
    </x:row>
    <x:row r="74" ht="34" customHeight="1">
      <x:c r="A74" s="19" t="str">
        <x:v>BAT0070</x:v>
      </x:c>
      <x:c r="B74" s="19" t="str">
        <x:v>LAB003</x:v>
      </x:c>
      <x:c r="C74" s="19" t="str">
        <x:v>MOD051</x:v>
      </x:c>
      <x:c r="D74" s="19" t="str">
        <x:v>SUP007</x:v>
      </x:c>
      <x:c r="E74" s="19" t="str">
        <x:v>047</x:v>
      </x:c>
      <x:c r="F74" s="28" t="n">
        <x:v>43335</x:v>
      </x:c>
      <x:c r="G74" s="19" t="str">
        <x:v>VCPL-2/1819/1540</x:v>
      </x:c>
      <x:c r="H74" s="19" t="n">
        <x:v>1</x:v>
      </x:c>
      <x:c r="I74" s="19" t="n">
        <x:v>1</x:v>
      </x:c>
      <x:c r="J74" s="26" t="n">
        <x:v>44000</x:v>
      </x:c>
      <x:c r="K74" s="26" t="n">
        <x:v>44000</x:v>
      </x:c>
      <x:c r="L74" s="19" t="str">
        <x:v>ACTIVE/RECORDED</x:v>
      </x:c>
      <x:c r="M74" s="19" t="str">
        <x:v>UPS.pdf</x:v>
      </x:c>
      <x:c r="N74" s="19" t="n">
        <x:v>3</x:v>
      </x:c>
      <x:c r="O74" s="19" t="str">
        <x:v>UPS Renutron 3 KVA Online UPS, 3KVA/72 V DC Sr. No. C1808262 Renutron</x:v>
      </x:c>
    </x:row>
    <x:row r="75" ht="34" customHeight="1">
      <x:c r="A75" s="19" t="str">
        <x:v>BAT0071</x:v>
      </x:c>
      <x:c r="B75" s="19" t="str">
        <x:v>LAB004</x:v>
      </x:c>
      <x:c r="C75" s="19" t="str">
        <x:v>MOD052</x:v>
      </x:c>
      <x:c r="D75" s="19" t="str">
        <x:v>SUP007</x:v>
      </x:c>
      <x:c r="E75" s="19" t="str">
        <x:v>008</x:v>
      </x:c>
      <x:c r="F75" s="28" t="n">
        <x:v>38576</x:v>
      </x:c>
      <x:c r="G75" s="19" t="str">
        <x:v>AUG-051</x:v>
      </x:c>
      <x:c r="H75" s="19" t="n">
        <x:v>1</x:v>
      </x:c>
      <x:c r="I75" s="19" t="n">
        <x:v>1</x:v>
      </x:c>
      <x:c r="J75" s="26" t="n">
        <x:v>78000</x:v>
      </x:c>
      <x:c r="K75" s="26" t="n">
        <x:v>78000</x:v>
      </x:c>
      <x:c r="L75" s="19" t="str">
        <x:v>ACTIVE/RECORDED</x:v>
      </x:c>
      <x:c r="M75" s="19" t="str">
        <x:v>UPS.pdf</x:v>
      </x:c>
      <x:c r="N75" s="19" t="n">
        <x:v>4</x:v>
      </x:c>
      <x:c r="O75" s="19" t="str">
        <x:v>4 KVA Online, Input Voltage 230V, Backup Upto 90 Min, Batteries 3X12V, 7 AH Sealed Lead Acid Maintenance Free Batteries</x:v>
      </x:c>
    </x:row>
    <x:row r="76" ht="34" customHeight="1">
      <x:c r="A76" s="19" t="str">
        <x:v>BAT0072</x:v>
      </x:c>
      <x:c r="B76" s="19" t="str">
        <x:v>LAB004</x:v>
      </x:c>
      <x:c r="C76" s="19" t="str">
        <x:v>MOD048</x:v>
      </x:c>
      <x:c r="D76" s="19" t="str">
        <x:v>SUP007</x:v>
      </x:c>
      <x:c r="E76" s="19" t="str">
        <x:v>030</x:v>
      </x:c>
      <x:c r="F76" s="28" t="n">
        <x:v>43021</x:v>
      </x:c>
      <x:c r="G76" s="19" t="str">
        <x:v>VCPL-2/1718/1505</x:v>
      </x:c>
      <x:c r="H76" s="19" t="n">
        <x:v>1</x:v>
      </x:c>
      <x:c r="I76" s="19" t="n">
        <x:v>1</x:v>
      </x:c>
      <x:c r="J76" s="26" t="n">
        <x:v>80500</x:v>
      </x:c>
      <x:c r="K76" s="26" t="n">
        <x:v>80500</x:v>
      </x:c>
      <x:c r="L76" s="19" t="str">
        <x:v>ACTIVE/RECORDED</x:v>
      </x:c>
      <x:c r="M76" s="19" t="str">
        <x:v>UPS.pdf</x:v>
      </x:c>
      <x:c r="N76" s="19" t="n">
        <x:v>4</x:v>
      </x:c>
      <x:c r="O76"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77" ht="34" customHeight="1">
      <x:c r="A77" s="19" t="str">
        <x:v>BAT0073</x:v>
      </x:c>
      <x:c r="B77" s="19" t="str">
        <x:v>LAB005</x:v>
      </x:c>
      <x:c r="C77" s="19" t="str">
        <x:v>MOD053</x:v>
      </x:c>
      <x:c r="D77" s="19" t="str">
        <x:v>SUP006</x:v>
      </x:c>
      <x:c r="E77" s="19" t="str">
        <x:v>012</x:v>
      </x:c>
      <x:c r="F77" s="28" t="n">
        <x:v>39172</x:v>
      </x:c>
      <x:c r="G77" s="19" t="str"/>
      <x:c r="H77" s="19" t="n">
        <x:v>1</x:v>
      </x:c>
      <x:c r="I77" s="19" t="n">
        <x:v>1</x:v>
      </x:c>
      <x:c r="J77" s="26" t="n">
        <x:v>332800</x:v>
      </x:c>
      <x:c r="K77" s="26" t="n">
        <x:v>332800</x:v>
      </x:c>
      <x:c r="L77" s="19" t="str">
        <x:v>ACTIVE/RECORDED</x:v>
      </x:c>
      <x:c r="M77" s="19" t="str">
        <x:v>UPS.pdf</x:v>
      </x:c>
      <x:c r="N77" s="19" t="n">
        <x:v>5</x:v>
      </x:c>
      <x:c r="O77" s="19" t="str">
        <x:v>S420D, LIBERT UPS, Model Super 420D, 20 KVA, Input 415V, 3 Phase (IGBT Rectifier) Output 230V, 1 Phase, 12V,100 AH HBL (Triumph- HP) Battery Rating 12 V, 100 AH with Accessories and Hardware Libert</x:v>
      </x:c>
    </x:row>
    <x:row r="78" ht="34" customHeight="1">
      <x:c r="A78" s="19" t="str">
        <x:v>BAT0074</x:v>
      </x:c>
      <x:c r="B78" s="19" t="str">
        <x:v>LAB005</x:v>
      </x:c>
      <x:c r="C78" s="19" t="str">
        <x:v>MOD048</x:v>
      </x:c>
      <x:c r="D78" s="19" t="str">
        <x:v>SUP007</x:v>
      </x:c>
      <x:c r="E78" s="19" t="str">
        <x:v>031</x:v>
      </x:c>
      <x:c r="F78" s="28" t="n">
        <x:v>43021</x:v>
      </x:c>
      <x:c r="G78" s="19" t="str">
        <x:v>VCPL-2/1718/1505</x:v>
      </x:c>
      <x:c r="H78" s="19" t="n">
        <x:v>1</x:v>
      </x:c>
      <x:c r="I78" s="19" t="n">
        <x:v>1</x:v>
      </x:c>
      <x:c r="J78" s="26" t="n">
        <x:v>80500</x:v>
      </x:c>
      <x:c r="K78" s="26" t="n">
        <x:v>80500</x:v>
      </x:c>
      <x:c r="L78" s="19" t="str">
        <x:v>ACTIVE/RECORDED</x:v>
      </x:c>
      <x:c r="M78" s="19" t="str">
        <x:v>UPS.pdf</x:v>
      </x:c>
      <x:c r="N78" s="19" t="n">
        <x:v>5</x:v>
      </x:c>
      <x:c r="O78"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Warranty: 3Years on Site By RENUTRON Sr. No 1710086 ( Including CGST &amp; SGST 18 % ) Renutron</x:v>
      </x:c>
    </x:row>
    <x:row r="79" ht="34" customHeight="1">
      <x:c r="A79" s="19" t="str">
        <x:v>BAT0075</x:v>
      </x:c>
      <x:c r="B79" s="19" t="str">
        <x:v>LAB006</x:v>
      </x:c>
      <x:c r="C79" s="19" t="str">
        <x:v>MOD047</x:v>
      </x:c>
      <x:c r="D79" s="19" t="str">
        <x:v>SUP006</x:v>
      </x:c>
      <x:c r="E79" s="19" t="str">
        <x:v>012</x:v>
      </x:c>
      <x:c r="F79" s="28" t="n">
        <x:v>38957</x:v>
      </x:c>
      <x:c r="G79" s="19" t="str">
        <x:v>I.N. 2006-270</x:v>
      </x:c>
      <x:c r="H79" s="19" t="n">
        <x:v>1</x:v>
      </x:c>
      <x:c r="I79" s="19" t="n">
        <x:v>1</x:v>
      </x:c>
      <x:c r="J79" s="26" t="n">
        <x:v>98000</x:v>
      </x:c>
      <x:c r="K79" s="26" t="n">
        <x:v>98000</x:v>
      </x:c>
      <x:c r="L79" s="19" t="str">
        <x:v>ACTIVE/RECORDED</x:v>
      </x:c>
      <x:c r="M79" s="19" t="str">
        <x:v>UPS.pdf</x:v>
      </x:c>
      <x:c r="N79" s="19" t="n">
        <x:v>6</x:v>
      </x:c>
      <x:c r="O79" s="19" t="str">
        <x:v>Online UPS: Online UPS Powerbank 6000 Libert Make Sr. No. 200630J1422 Libert</x:v>
      </x:c>
    </x:row>
    <x:row r="80" ht="34" customHeight="1">
      <x:c r="A80" s="19" t="str">
        <x:v>BAT0076</x:v>
      </x:c>
      <x:c r="B80" s="19" t="str">
        <x:v>LAB007</x:v>
      </x:c>
      <x:c r="C80" s="19" t="str">
        <x:v>MOD054</x:v>
      </x:c>
      <x:c r="D80" s="19" t="str">
        <x:v>SUP007</x:v>
      </x:c>
      <x:c r="E80" s="19" t="str">
        <x:v>006</x:v>
      </x:c>
      <x:c r="F80" s="28" t="n">
        <x:v>41543</x:v>
      </x:c>
      <x:c r="G80" s="19" t="str">
        <x:v>SUD-09/1314/0648</x:v>
      </x:c>
      <x:c r="H80" s="19" t="n">
        <x:v>1</x:v>
      </x:c>
      <x:c r="I80" s="19" t="n">
        <x:v>1</x:v>
      </x:c>
      <x:c r="J80" s="26" t="n">
        <x:v>63000</x:v>
      </x:c>
      <x:c r="K80" s="26" t="n">
        <x:v>63000</x:v>
      </x:c>
      <x:c r="L80" s="19" t="str">
        <x:v>OK</x:v>
      </x:c>
      <x:c r="M80" s="19" t="str">
        <x:v>UPS.pdf</x:v>
      </x:c>
      <x:c r="N80" s="19" t="n">
        <x:v>7</x:v>
      </x:c>
      <x:c r="O80" s="19" t="str">
        <x:v>Renutron 3 KVA Online Capacity: 3 KVA/72 V DC, Pure Sinewave Mocrocontroller based with build in isolation Transformer, O/p Power factor 0.8, I/P- 150-300 V AC Warranty- 3 Years Renutron</x:v>
      </x:c>
    </x:row>
    <x:row r="81" ht="34" customHeight="1">
      <x:c r="A81" s="19" t="str">
        <x:v>BAT0077</x:v>
      </x:c>
      <x:c r="B81" s="19" t="str">
        <x:v>LAB007</x:v>
      </x:c>
      <x:c r="C81" s="19" t="str">
        <x:v>MOD055</x:v>
      </x:c>
      <x:c r="D81" s="19" t="str">
        <x:v>SUP007</x:v>
      </x:c>
      <x:c r="E81" s="19" t="str">
        <x:v>008</x:v>
      </x:c>
      <x:c r="F81" s="28" t="n">
        <x:v>42424</x:v>
      </x:c>
      <x:c r="G81" s="19" t="str">
        <x:v>DC/SUD02/01841</x:v>
      </x:c>
      <x:c r="H81" s="19" t="n">
        <x:v>1</x:v>
      </x:c>
      <x:c r="I81" s="19" t="n">
        <x:v>1</x:v>
      </x:c>
      <x:c r="J81" s="26" t="n">
        <x:v>150900</x:v>
      </x:c>
      <x:c r="K81" s="26" t="n">
        <x:v>150900</x:v>
      </x:c>
      <x:c r="L81" s="19" t="str">
        <x:v>ACTIVE/RECORDED</x:v>
      </x:c>
      <x:c r="M81" s="19" t="str">
        <x:v>UPS.pdf</x:v>
      </x:c>
      <x:c r="N81" s="19" t="n">
        <x:v>7</x:v>
      </x:c>
      <x:c r="O81" s="19" t="str">
        <x:v>Renutron 6 KVA Online Capacity: 6 KVA/144 V DC, Pure Sinewave IGBT based PWM technology Dual Micro controller based with LCD Pannel Built in isolation Transformer, IGBT based I/p Power factor conrrected rectifier,O/P Factor 0.8 wider I?P range 150-280 V Heavy Duty Charger 15 AMP , Renu Urja tubular Stationary Battery 12 Volt 80 AH Qty. 12 Warranty- 3 Years on site &amp; 1 Year Battery Maintainance 4 visit by Renutron Renutron</x:v>
      </x:c>
    </x:row>
    <x:row r="82" ht="34" customHeight="1">
      <x:c r="A82" s="19" t="str">
        <x:v>BAT0078</x:v>
      </x:c>
      <x:c r="B82" s="19" t="str">
        <x:v>LAB007</x:v>
      </x:c>
      <x:c r="C82" s="19" t="str">
        <x:v>MOD048</x:v>
      </x:c>
      <x:c r="D82" s="19" t="str">
        <x:v>SUP007</x:v>
      </x:c>
      <x:c r="E82" s="19" t="str">
        <x:v>023</x:v>
      </x:c>
      <x:c r="F82" s="28" t="n">
        <x:v>44278</x:v>
      </x:c>
      <x:c r="G82" s="19" t="str">
        <x:v>VCPL-2/2021/3962</x:v>
      </x:c>
      <x:c r="H82" s="19" t="n">
        <x:v>1</x:v>
      </x:c>
      <x:c r="I82" s="19" t="n">
        <x:v>1</x:v>
      </x:c>
      <x:c r="J82" s="26" t="n">
        <x:v>90799</x:v>
      </x:c>
      <x:c r="K82" s="26" t="n">
        <x:v>90799</x:v>
      </x:c>
      <x:c r="L82" s="19" t="str">
        <x:v>ACTIVE/RECORDED</x:v>
      </x:c>
      <x:c r="M82" s="19" t="str">
        <x:v>UPS.pdf</x:v>
      </x:c>
      <x:c r="N82" s="19" t="n">
        <x:v>8</x:v>
      </x:c>
      <x:c r="O82" s="19" t="str">
        <x:v>UPS WITH RACK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D2103010 ( Including CGST &amp; SGST 18 % ) Renutron</x:v>
      </x:c>
    </x:row>
    <x:row r="83" ht="34" customHeight="1">
      <x:c r="A83" s="19" t="str">
        <x:v>BAT0079</x:v>
      </x:c>
      <x:c r="B83" s="19" t="str">
        <x:v>LAB008</x:v>
      </x:c>
      <x:c r="C83" s="19" t="str">
        <x:v>MOD048</x:v>
      </x:c>
      <x:c r="D83" s="19" t="str">
        <x:v>SUP007</x:v>
      </x:c>
      <x:c r="E83" s="19" t="str">
        <x:v>019</x:v>
      </x:c>
      <x:c r="F83" s="28" t="n">
        <x:v>43887</x:v>
      </x:c>
      <x:c r="G83" s="19" t="str">
        <x:v>VCPL-2/1920/4325</x:v>
      </x:c>
      <x:c r="H83" s="19" t="n">
        <x:v>1</x:v>
      </x:c>
      <x:c r="I83" s="19" t="n">
        <x:v>1</x:v>
      </x:c>
      <x:c r="J83" s="26" t="n">
        <x:v>81000</x:v>
      </x:c>
      <x:c r="K83" s="26" t="n">
        <x:v>81000</x:v>
      </x:c>
      <x:c r="L83" s="19" t="str">
        <x:v>ACTIVE/RECORDED</x:v>
      </x:c>
      <x:c r="M83" s="19" t="str">
        <x:v>UPS.pdf</x:v>
      </x:c>
      <x:c r="N83" s="19" t="n">
        <x:v>9</x:v>
      </x:c>
      <x:c r="O83"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84" ht="34" customHeight="1">
      <x:c r="A84" s="19" t="str">
        <x:v>BAT0080</x:v>
      </x:c>
      <x:c r="B84" s="19" t="str">
        <x:v>LAB009</x:v>
      </x:c>
      <x:c r="C84" s="19" t="str">
        <x:v>MOD048</x:v>
      </x:c>
      <x:c r="D84" s="19" t="str">
        <x:v>SUP007</x:v>
      </x:c>
      <x:c r="E84" s="19" t="str">
        <x:v>017</x:v>
      </x:c>
      <x:c r="F84" s="28" t="n">
        <x:v>45744</x:v>
      </x:c>
      <x:c r="G84" s="19" t="str">
        <x:v>VCPL-2/2425/3942</x:v>
      </x:c>
      <x:c r="H84" s="19" t="n">
        <x:v>2</x:v>
      </x:c>
      <x:c r="I84" s="19" t="n">
        <x:v>2</x:v>
      </x:c>
      <x:c r="J84" s="26" t="n">
        <x:v>68400</x:v>
      </x:c>
      <x:c r="K84" s="26" t="n">
        <x:v>136800</x:v>
      </x:c>
      <x:c r="L84" s="19" t="str">
        <x:v>ACTIVE/RECORDED</x:v>
      </x:c>
      <x:c r="M84" s="19" t="str">
        <x:v>UPS.pdf</x:v>
      </x:c>
      <x:c r="N84" s="19" t="n">
        <x:v>10</x:v>
      </x:c>
      <x:c r="O84" s="19" t="str">
        <x:v>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E2503868,E2503869 ( Including CGST &amp; SGST 18 % ) RENUTRON</x:v>
      </x:c>
    </x:row>
    <x:row r="85" ht="34" customHeight="1">
      <x:c r="A85" s="19" t="str">
        <x:v>BAT0081</x:v>
      </x:c>
      <x:c r="B85" s="19" t="str">
        <x:v>LAB010</x:v>
      </x:c>
      <x:c r="C85" s="19" t="str">
        <x:v>MOD048</x:v>
      </x:c>
      <x:c r="D85" s="19" t="str">
        <x:v>SUP007</x:v>
      </x:c>
      <x:c r="E85" s="19" t="str">
        <x:v>001</x:v>
      </x:c>
      <x:c r="F85" s="28" t="n">
        <x:v>43887</x:v>
      </x:c>
      <x:c r="G85" s="19" t="str">
        <x:v>VCPL-2/1920/4323</x:v>
      </x:c>
      <x:c r="H85" s="19" t="n">
        <x:v>1</x:v>
      </x:c>
      <x:c r="I85" s="19" t="n">
        <x:v>1</x:v>
      </x:c>
      <x:c r="J85" s="26" t="n">
        <x:v>81000</x:v>
      </x:c>
      <x:c r="K85" s="26" t="n">
        <x:v>81000</x:v>
      </x:c>
      <x:c r="L85" s="19" t="str">
        <x:v>TRANSFERRED_IN</x:v>
      </x:c>
      <x:c r="M85" s="19" t="str">
        <x:v>UPS.pdf</x:v>
      </x:c>
      <x:c r="N85" s="19" t="n">
        <x:v>11</x:v>
      </x:c>
      <x:c r="O85"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O1"/>
  </x:mergeCells>
  <x:pageMargins left="0.7" right="0.7" top="0.75" bottom="0.75" header="0.3" footer="0.3"/>
  <x:tableParts count="1">
    <x:tablePart xmlns:r="http://schemas.openxmlformats.org/officeDocument/2006/relationships" r:id="Rb39a56751a714459"/>
  </x:tableParts>
</x:worksheet>
</file>

<file path=xl/worksheets/sheet9.xml><?xml version="1.0" encoding="utf-8"?>
<x:worksheet xmlns:x="http://schemas.openxmlformats.org/spreadsheetml/2006/main">
  <x:sheetFormatPr defaultRowHeight="15"/>
  <x:cols>
    <x:col min="1" max="1" width="13" hidden="0" customWidth="1"/>
    <x:col min="2" max="2" width="13" hidden="0" customWidth="1"/>
    <x:col min="3" max="3" width="14" hidden="0" customWidth="1"/>
    <x:col min="4" max="4" width="14" hidden="0" customWidth="1"/>
    <x:col min="5" max="5" width="13" hidden="0" customWidth="1"/>
    <x:col min="6" max="6" width="13" hidden="0" customWidth="1"/>
    <x:col min="7" max="7" width="13" hidden="0" customWidth="1"/>
    <x:col min="8" max="8" width="60" hidden="0" customWidth="1"/>
  </x:cols>
  <x:sheetData>
    <x:row r="1">
      <x:c r="A1" s="5" t="str">
        <x:v>Transfer / Write-off / Condition Events</x:v>
      </x:c>
    </x:row>
    <x:row r="2">
      <x:c r="A2" s="24" t="str">
        <x:v>Rows: 12</x:v>
      </x:c>
    </x:row>
    <x:row r="4">
      <x:c r="A4" s="18" t="str">
        <x:v>event_id</x:v>
      </x:c>
      <x:c r="B4" s="18" t="str">
        <x:v>batch_id</x:v>
      </x:c>
      <x:c r="C4" s="18" t="str">
        <x:v>event_type</x:v>
      </x:c>
      <x:c r="D4" s="18" t="str">
        <x:v>quantity_change</x:v>
      </x:c>
      <x:c r="E4" s="18" t="str">
        <x:v>from_lab_id</x:v>
      </x:c>
      <x:c r="F4" s="18" t="str">
        <x:v>to_lab_id</x:v>
      </x:c>
      <x:c r="G4" s="18" t="str">
        <x:v>event_date</x:v>
      </x:c>
      <x:c r="H4" s="18" t="str">
        <x:v>details</x:v>
      </x:c>
    </x:row>
    <x:row r="5">
      <x:c r="A5" s="19" t="str">
        <x:v>EVT001</x:v>
      </x:c>
      <x:c r="B5" s="19" t="str">
        <x:v>BAT0003</x:v>
      </x:c>
      <x:c r="C5" s="19" t="str">
        <x:v>TRANSFER_OUT</x:v>
      </x:c>
      <x:c r="D5" s="19" t="n">
        <x:v>-12</x:v>
      </x:c>
      <x:c r="E5" s="19" t="str">
        <x:v>LAB009</x:v>
      </x:c>
      <x:c r="F5" s="19" t="str">
        <x:v>LAB010</x:v>
      </x:c>
      <x:c r="G5" s="28"/>
      <x:c r="H5" s="19" t="str">
        <x:v>- Transferred to RIT/CSE/D-10/1/2</x:v>
      </x:c>
    </x:row>
    <x:row r="6">
      <x:c r="A6" s="19" t="str">
        <x:v>EVT002</x:v>
      </x:c>
      <x:c r="B6" s="19" t="str">
        <x:v>BAT0004</x:v>
      </x:c>
      <x:c r="C6" s="19" t="str">
        <x:v>TRANSFER_IN</x:v>
      </x:c>
      <x:c r="D6" s="19" t="n">
        <x:v>12</x:v>
      </x:c>
      <x:c r="E6" s="19" t="str">
        <x:v>LAB009</x:v>
      </x:c>
      <x:c r="F6" s="19" t="str">
        <x:v>LAB010</x:v>
      </x:c>
      <x:c r="G6" s="28"/>
      <x:c r="H6" s="19" t="str">
        <x:v>- Received From RIT/CSE/D-09/03/6</x:v>
      </x:c>
    </x:row>
    <x:row r="7">
      <x:c r="A7" s="19" t="str">
        <x:v>EVT003</x:v>
      </x:c>
      <x:c r="B7" s="19" t="str">
        <x:v>BAT0019</x:v>
      </x:c>
      <x:c r="C7" s="19" t="str">
        <x:v>WRITEOFF</x:v>
      </x:c>
      <x:c r="D7" s="19" t="n">
        <x:v>-12</x:v>
      </x:c>
      <x:c r="E7" s="19" t="str">
        <x:v>LAB007</x:v>
      </x:c>
      <x:c r="F7" s="19" t="str"/>
      <x:c r="G7" s="28"/>
      <x:c r="H7" s="19" t="str">
        <x:v>12 Item No.01,06,10,11,18=05 is Write-off as per decision Taken in KES GC Meeting held on 26/11/2021. Item No.2,3,5,14,16,17,19=07 is Write-off as per decision Taken in KES GC Meeting held on 26/09/2023.</x:v>
      </x:c>
    </x:row>
    <x:row r="8">
      <x:c r="A8" s="19" t="str">
        <x:v>EVT004</x:v>
      </x:c>
      <x:c r="B8" s="19" t="str">
        <x:v>BAT0020</x:v>
      </x:c>
      <x:c r="C8" s="19" t="str">
        <x:v>INSPECTION_OK</x:v>
      </x:c>
      <x:c r="D8" s="19" t="n">
        <x:v>0</x:v>
      </x:c>
      <x:c r="E8" s="19" t="str">
        <x:v>LAB007</x:v>
      </x:c>
      <x:c r="F8" s="19" t="str"/>
      <x:c r="G8" s="28"/>
      <x:c r="H8" s="19" t="str">
        <x:v>- OK</x:v>
      </x:c>
    </x:row>
    <x:row r="9">
      <x:c r="A9" s="19" t="str">
        <x:v>EVT005</x:v>
      </x:c>
      <x:c r="B9" s="19" t="str">
        <x:v>BAT0027</x:v>
      </x:c>
      <x:c r="C9" s="19" t="str">
        <x:v>INSPECTION_OK</x:v>
      </x:c>
      <x:c r="D9" s="19" t="n">
        <x:v>0</x:v>
      </x:c>
      <x:c r="E9" s="19" t="str">
        <x:v>LAB008</x:v>
      </x:c>
      <x:c r="F9" s="19" t="str"/>
      <x:c r="G9" s="28"/>
      <x:c r="H9" s="19" t="str">
        <x:v>- ok</x:v>
      </x:c>
    </x:row>
    <x:row r="10">
      <x:c r="A10" s="19" t="str">
        <x:v>EVT006</x:v>
      </x:c>
      <x:c r="B10" s="19" t="str">
        <x:v>BAT0031</x:v>
      </x:c>
      <x:c r="C10" s="19" t="str">
        <x:v>TRANSFER_IN</x:v>
      </x:c>
      <x:c r="D10" s="19" t="n">
        <x:v>20</x:v>
      </x:c>
      <x:c r="E10" s="19" t="str">
        <x:v>LAB009</x:v>
      </x:c>
      <x:c r="F10" s="19" t="str">
        <x:v>LAB010</x:v>
      </x:c>
      <x:c r="G10" s="28"/>
      <x:c r="H10" s="19" t="str">
        <x:v>- Received From RIT/CSE/D-09/03/8</x:v>
      </x:c>
    </x:row>
    <x:row r="11">
      <x:c r="A11" s="19" t="str">
        <x:v>EVT007</x:v>
      </x:c>
      <x:c r="B11" s="19" t="str">
        <x:v>BAT0038</x:v>
      </x:c>
      <x:c r="C11" s="19" t="str">
        <x:v>GIFT_RECEIVED</x:v>
      </x:c>
      <x:c r="D11" s="19" t="n">
        <x:v>1</x:v>
      </x:c>
      <x:c r="E11" s="19" t="str"/>
      <x:c r="F11" s="19" t="str">
        <x:v>LAB005</x:v>
      </x:c>
      <x:c r="G11" s="28"/>
      <x:c r="H11" s="19" t="str">
        <x:v>- Gifted from Infosys Campus Connect</x:v>
      </x:c>
    </x:row>
    <x:row r="12">
      <x:c r="A12" s="19" t="str">
        <x:v>EVT008</x:v>
      </x:c>
      <x:c r="B12" s="19" t="str">
        <x:v>BAT0051</x:v>
      </x:c>
      <x:c r="C12" s="19" t="str">
        <x:v>INSPECTION_OK</x:v>
      </x:c>
      <x:c r="D12" s="19" t="n">
        <x:v>0</x:v>
      </x:c>
      <x:c r="E12" s="19" t="str">
        <x:v>LAB007</x:v>
      </x:c>
      <x:c r="F12" s="19" t="str"/>
      <x:c r="G12" s="28"/>
      <x:c r="H12" s="19" t="str">
        <x:v>- ok</x:v>
      </x:c>
    </x:row>
    <x:row r="13">
      <x:c r="A13" s="19" t="str">
        <x:v>EVT009</x:v>
      </x:c>
      <x:c r="B13" s="19" t="str">
        <x:v>BAT0061</x:v>
      </x:c>
      <x:c r="C13" s="19" t="str">
        <x:v>INSPECTION_OK</x:v>
      </x:c>
      <x:c r="D13" s="19" t="n">
        <x:v>0</x:v>
      </x:c>
      <x:c r="E13" s="19" t="str">
        <x:v>LAB007</x:v>
      </x:c>
      <x:c r="F13" s="19" t="str"/>
      <x:c r="G13" s="28"/>
      <x:c r="H13" s="19" t="str">
        <x:v>- ok</x:v>
      </x:c>
    </x:row>
    <x:row r="14">
      <x:c r="A14" s="19" t="str">
        <x:v>EVT010</x:v>
      </x:c>
      <x:c r="B14" s="19" t="str">
        <x:v>BAT0067</x:v>
      </x:c>
      <x:c r="C14" s="19" t="str">
        <x:v>CONDITION_CHANGE</x:v>
      </x:c>
      <x:c r="D14" s="19" t="n">
        <x:v>0</x:v>
      </x:c>
      <x:c r="E14" s="19" t="str">
        <x:v>LAB002</x:v>
      </x:c>
      <x:c r="F14" s="19" t="str"/>
      <x:c r="G14" s="28"/>
      <x:c r="H14" s="19" t="str">
        <x:v>- Not in Repairable state</x:v>
      </x:c>
    </x:row>
    <x:row r="15">
      <x:c r="A15" s="19" t="str">
        <x:v>EVT011</x:v>
      </x:c>
      <x:c r="B15" s="19" t="str">
        <x:v>BAT0076</x:v>
      </x:c>
      <x:c r="C15" s="19" t="str">
        <x:v>INSPECTION_OK</x:v>
      </x:c>
      <x:c r="D15" s="19" t="n">
        <x:v>0</x:v>
      </x:c>
      <x:c r="E15" s="19" t="str">
        <x:v>LAB007</x:v>
      </x:c>
      <x:c r="F15" s="19" t="str"/>
      <x:c r="G15" s="28"/>
      <x:c r="H15" s="19" t="str">
        <x:v>- ok</x:v>
      </x:c>
    </x:row>
    <x:row r="16">
      <x:c r="A16" s="19" t="str">
        <x:v>EVT012</x:v>
      </x:c>
      <x:c r="B16" s="19" t="str">
        <x:v>BAT0081</x:v>
      </x:c>
      <x:c r="C16" s="19" t="str">
        <x:v>TRANSFER_IN</x:v>
      </x:c>
      <x:c r="D16" s="19" t="n">
        <x:v>1</x:v>
      </x:c>
      <x:c r="E16" s="19" t="str">
        <x:v>LAB009</x:v>
      </x:c>
      <x:c r="F16" s="19" t="str">
        <x:v>LAB010</x:v>
      </x:c>
      <x:c r="G16" s="28"/>
      <x:c r="H16" s="19" t="str">
        <x:v>- Received From RIT/CSE/D-09/02/5</x:v>
      </x:c>
    </x:row>
  </x:sheetData>
  <x:mergeCells>
    <x:mergeCell ref="A1:H1"/>
  </x:mergeCells>
  <x:pageMargins left="0.7" right="0.7" top="0.75" bottom="0.75" header="0.3" footer="0.3"/>
  <x:tableParts count="1">
    <x:tablePart xmlns:r="http://schemas.openxmlformats.org/officeDocument/2006/relationships" r:id="R187a8fc39c7b4edc"/>
  </x:tableParts>
</x:worksheet>
</file>

<file path=xl/worksheets/sheet10.xml><?xml version="1.0" encoding="utf-8"?>
<x:worksheet xmlns:x="http://schemas.openxmlformats.org/spreadsheetml/2006/main">
  <x:sheetFormatPr defaultRowHeight="15"/>
  <x:cols>
    <x:col min="1" max="1" width="13" hidden="0" customWidth="1"/>
    <x:col min="2" max="2" width="13" hidden="0" customWidth="1"/>
    <x:col min="3" max="3" width="14" hidden="0" customWidth="1"/>
    <x:col min="4" max="4" width="14" hidden="0" customWidth="1"/>
  </x:cols>
  <x:sheetData>
    <x:row r="1">
      <x:c r="A1" s="5" t="str">
        <x:v>Atomic serial numbers parsed from descriptions (where available)</x:v>
      </x:c>
    </x:row>
    <x:row r="2">
      <x:c r="A2" s="24" t="str">
        <x:v>Rows: 57</x:v>
      </x:c>
    </x:row>
    <x:row r="4">
      <x:c r="A4" s="18" t="str">
        <x:v>serial_id</x:v>
      </x:c>
      <x:c r="B4" s="18" t="str">
        <x:v>batch_id</x:v>
      </x:c>
      <x:c r="C4" s="18" t="str">
        <x:v>serial_no</x:v>
      </x:c>
      <x:c r="D4" s="18" t="str">
        <x:v>serial_type</x:v>
      </x:c>
    </x:row>
    <x:row r="5">
      <x:c r="A5" s="19" t="str">
        <x:v>SER0001</x:v>
      </x:c>
      <x:c r="B5" s="19" t="str">
        <x:v>BAT0016</x:v>
      </x:c>
      <x:c r="C5" s="19" t="str">
        <x:v>FPC6JT3</x:v>
      </x:c>
      <x:c r="D5" s="19" t="str">
        <x:v>EQUIPMENT/UNKNOWN</x:v>
      </x:c>
    </x:row>
    <x:row r="6">
      <x:c r="A6" s="19" t="str">
        <x:v>SER0002</x:v>
      </x:c>
      <x:c r="B6" s="19" t="str">
        <x:v>BAT0016</x:v>
      </x:c>
      <x:c r="C6" s="19" t="str">
        <x:v>6PC6JT3</x:v>
      </x:c>
      <x:c r="D6" s="19" t="str">
        <x:v>EQUIPMENT/UNKNOWN</x:v>
      </x:c>
    </x:row>
    <x:row r="7">
      <x:c r="A7" s="19" t="str">
        <x:v>SER0003</x:v>
      </x:c>
      <x:c r="B7" s="19" t="str">
        <x:v>BAT0016</x:v>
      </x:c>
      <x:c r="C7" s="19" t="str">
        <x:v>BPC6JT3</x:v>
      </x:c>
      <x:c r="D7" s="19" t="str">
        <x:v>EQUIPMENT/UNKNOWN</x:v>
      </x:c>
    </x:row>
    <x:row r="8">
      <x:c r="A8" s="19" t="str">
        <x:v>SER0004</x:v>
      </x:c>
      <x:c r="B8" s="19" t="str">
        <x:v>BAT0016</x:v>
      </x:c>
      <x:c r="C8" s="19" t="str">
        <x:v>HPC6J</x:v>
      </x:c>
      <x:c r="D8" s="19" t="str">
        <x:v>EQUIPMENT/UNKNOWN</x:v>
      </x:c>
    </x:row>
    <x:row r="9">
      <x:c r="A9" s="19" t="str">
        <x:v>SER0005</x:v>
      </x:c>
      <x:c r="B9" s="19" t="str">
        <x:v>BAT0016</x:v>
      </x:c>
      <x:c r="C9" s="19" t="str">
        <x:v>8PC6JT3</x:v>
      </x:c>
      <x:c r="D9" s="19" t="str">
        <x:v>EQUIPMENT/UNKNOWN</x:v>
      </x:c>
    </x:row>
    <x:row r="10">
      <x:c r="A10" s="19" t="str">
        <x:v>SER0006</x:v>
      </x:c>
      <x:c r="B10" s="19" t="str">
        <x:v>BAT0018</x:v>
      </x:c>
      <x:c r="C10" s="19" t="str">
        <x:v>21QYHP3</x:v>
      </x:c>
      <x:c r="D10" s="19" t="str">
        <x:v>EQUIPMENT/UNKNOWN</x:v>
      </x:c>
    </x:row>
    <x:row r="11">
      <x:c r="A11" s="19" t="str">
        <x:v>SER0007</x:v>
      </x:c>
      <x:c r="B11" s="19" t="str">
        <x:v>BAT0018</x:v>
      </x:c>
      <x:c r="C11" s="19" t="str">
        <x:v>G0QYHP3</x:v>
      </x:c>
      <x:c r="D11" s="19" t="str">
        <x:v>EQUIPMENT/UNKNOWN</x:v>
      </x:c>
    </x:row>
    <x:row r="12">
      <x:c r="A12" s="19" t="str">
        <x:v>SER0008</x:v>
      </x:c>
      <x:c r="B12" s="19" t="str">
        <x:v>BAT0018</x:v>
      </x:c>
      <x:c r="C12" s="19" t="str">
        <x:v>6HHXTN3</x:v>
      </x:c>
      <x:c r="D12" s="19" t="str">
        <x:v>EQUIPMENT/UNKNOWN</x:v>
      </x:c>
    </x:row>
    <x:row r="13">
      <x:c r="A13" s="19" t="str">
        <x:v>SER0009</x:v>
      </x:c>
      <x:c r="B13" s="19" t="str">
        <x:v>BAT0021</x:v>
      </x:c>
      <x:c r="C13" s="19" t="str">
        <x:v>9P0LZL2</x:v>
      </x:c>
      <x:c r="D13" s="19" t="str">
        <x:v>EQUIPMENT/UNKNOWN</x:v>
      </x:c>
    </x:row>
    <x:row r="14">
      <x:c r="A14" s="19" t="str">
        <x:v>SER0010</x:v>
      </x:c>
      <x:c r="B14" s="19" t="str">
        <x:v>BAT0021</x:v>
      </x:c>
      <x:c r="C14" s="19" t="str">
        <x:v>9P1GZL2</x:v>
      </x:c>
      <x:c r="D14" s="19" t="str">
        <x:v>EQUIPMENT/UNKNOWN</x:v>
      </x:c>
    </x:row>
    <x:row r="15">
      <x:c r="A15" s="19" t="str">
        <x:v>SER0011</x:v>
      </x:c>
      <x:c r="B15" s="19" t="str">
        <x:v>BAT0021</x:v>
      </x:c>
      <x:c r="C15" s="19" t="str">
        <x:v>9P01DZL2</x:v>
      </x:c>
      <x:c r="D15" s="19" t="str">
        <x:v>EQUIPMENT/UNKNOWN</x:v>
      </x:c>
    </x:row>
    <x:row r="16">
      <x:c r="A16" s="19" t="str">
        <x:v>SER0012</x:v>
      </x:c>
      <x:c r="B16" s="19" t="str">
        <x:v>BAT0023</x:v>
      </x:c>
      <x:c r="C16" s="19" t="str">
        <x:v>30QYP3</x:v>
      </x:c>
      <x:c r="D16" s="19" t="str">
        <x:v>EQUIPMENT/UNKNOWN</x:v>
      </x:c>
    </x:row>
    <x:row r="17">
      <x:c r="A17" s="19" t="str">
        <x:v>SER0013</x:v>
      </x:c>
      <x:c r="B17" s="19" t="str">
        <x:v>BAT0023</x:v>
      </x:c>
      <x:c r="C17" s="19" t="str">
        <x:v>10QYHP3</x:v>
      </x:c>
      <x:c r="D17" s="19" t="str">
        <x:v>EQUIPMENT/UNKNOWN</x:v>
      </x:c>
    </x:row>
    <x:row r="18">
      <x:c r="A18" s="19" t="str">
        <x:v>SER0014</x:v>
      </x:c>
      <x:c r="B18" s="19" t="str">
        <x:v>BAT0023</x:v>
      </x:c>
      <x:c r="C18" s="19" t="str">
        <x:v>GZPYHP3</x:v>
      </x:c>
      <x:c r="D18" s="19" t="str">
        <x:v>EQUIPMENT/UNKNOWN</x:v>
      </x:c>
    </x:row>
    <x:row r="19">
      <x:c r="A19" s="19" t="str">
        <x:v>SER0015</x:v>
      </x:c>
      <x:c r="B19" s="19" t="str">
        <x:v>BAT0023</x:v>
      </x:c>
      <x:c r="C19" s="19" t="str">
        <x:v>40QYHP</x:v>
      </x:c>
      <x:c r="D19" s="19" t="str">
        <x:v>EQUIPMENT/UNKNOWN</x:v>
      </x:c>
    </x:row>
    <x:row r="20">
      <x:c r="A20" s="19" t="str">
        <x:v>SER0016</x:v>
      </x:c>
      <x:c r="B20" s="19" t="str">
        <x:v>BAT0023</x:v>
      </x:c>
      <x:c r="C20" s="19" t="str">
        <x:v>HZPYHP3</x:v>
      </x:c>
      <x:c r="D20" s="19" t="str">
        <x:v>EQUIPMENT/UNKNOWN</x:v>
      </x:c>
    </x:row>
    <x:row r="21">
      <x:c r="A21" s="19" t="str">
        <x:v>SER0017</x:v>
      </x:c>
      <x:c r="B21" s="19" t="str">
        <x:v>BAT0023</x:v>
      </x:c>
      <x:c r="C21" s="19" t="str">
        <x:v>50QYHP3</x:v>
      </x:c>
      <x:c r="D21" s="19" t="str">
        <x:v>EQUIPMENT/UNKNOWN</x:v>
      </x:c>
    </x:row>
    <x:row r="22">
      <x:c r="A22" s="19" t="str">
        <x:v>SER0018</x:v>
      </x:c>
      <x:c r="B22" s="19" t="str">
        <x:v>BAT0023</x:v>
      </x:c>
      <x:c r="C22" s="19" t="str">
        <x:v>20QYHP3</x:v>
      </x:c>
      <x:c r="D22" s="19" t="str">
        <x:v>EQUIPMENT/UNKNOWN</x:v>
      </x:c>
    </x:row>
    <x:row r="23">
      <x:c r="A23" s="19" t="str">
        <x:v>SER0019</x:v>
      </x:c>
      <x:c r="B23" s="19" t="str">
        <x:v>BAT0024</x:v>
      </x:c>
      <x:c r="C23" s="19" t="str">
        <x:v>D566JT3</x:v>
      </x:c>
      <x:c r="D23" s="19" t="str">
        <x:v>EQUIPMENT/UNKNOWN</x:v>
      </x:c>
    </x:row>
    <x:row r="24">
      <x:c r="A24" s="19" t="str">
        <x:v>SER0020</x:v>
      </x:c>
      <x:c r="B24" s="19" t="str">
        <x:v>BAT0024</x:v>
      </x:c>
      <x:c r="C24" s="19" t="str">
        <x:v>B566JT3</x:v>
      </x:c>
      <x:c r="D24" s="19" t="str">
        <x:v>EQUIPMENT/UNKNOWN</x:v>
      </x:c>
    </x:row>
    <x:row r="25">
      <x:c r="A25" s="19" t="str">
        <x:v>SER0021</x:v>
      </x:c>
      <x:c r="B25" s="19" t="str">
        <x:v>BAT0024</x:v>
      </x:c>
      <x:c r="C25" s="19" t="str">
        <x:v>H566JT3</x:v>
      </x:c>
      <x:c r="D25" s="19" t="str">
        <x:v>EQUIPMENT/UNKNOWN</x:v>
      </x:c>
    </x:row>
    <x:row r="26">
      <x:c r="A26" s="19" t="str">
        <x:v>SER0022</x:v>
      </x:c>
      <x:c r="B26" s="19" t="str">
        <x:v>BAT0024</x:v>
      </x:c>
      <x:c r="C26" s="19" t="str">
        <x:v>F566JT3</x:v>
      </x:c>
      <x:c r="D26" s="19" t="str">
        <x:v>EQUIPMENT/UNKNOWN</x:v>
      </x:c>
    </x:row>
    <x:row r="27">
      <x:c r="A27" s="19" t="str">
        <x:v>SER0023</x:v>
      </x:c>
      <x:c r="B27" s="19" t="str">
        <x:v>BAT0024</x:v>
      </x:c>
      <x:c r="C27" s="19" t="str">
        <x:v>66JT3</x:v>
      </x:c>
      <x:c r="D27" s="19" t="str">
        <x:v>EQUIPMENT/UNKNOWN</x:v>
      </x:c>
    </x:row>
    <x:row r="28">
      <x:c r="A28" s="19" t="str">
        <x:v>SER0024</x:v>
      </x:c>
      <x:c r="B28" s="19" t="str">
        <x:v>BAT0027</x:v>
      </x:c>
      <x:c r="C28" s="19" t="str">
        <x:v>50W89R2</x:v>
      </x:c>
      <x:c r="D28" s="19" t="str">
        <x:v>EQUIPMENT/UNKNOWN</x:v>
      </x:c>
    </x:row>
    <x:row r="29">
      <x:c r="A29" s="19" t="str">
        <x:v>SER0025</x:v>
      </x:c>
      <x:c r="B29" s="19" t="str">
        <x:v>BAT0027</x:v>
      </x:c>
      <x:c r="C29" s="19" t="str">
        <x:v>515C9R2</x:v>
      </x:c>
      <x:c r="D29" s="19" t="str">
        <x:v>EQUIPMENT/UNKNOWN</x:v>
      </x:c>
    </x:row>
    <x:row r="30">
      <x:c r="A30" s="19" t="str">
        <x:v>SER0026</x:v>
      </x:c>
      <x:c r="B30" s="19" t="str">
        <x:v>BAT0027</x:v>
      </x:c>
      <x:c r="C30" s="19" t="str">
        <x:v>50XB9R2</x:v>
      </x:c>
      <x:c r="D30" s="19" t="str">
        <x:v>EQUIPMENT/UNKNOWN</x:v>
      </x:c>
    </x:row>
    <x:row r="31">
      <x:c r="A31" s="19" t="str">
        <x:v>SER0027</x:v>
      </x:c>
      <x:c r="B31" s="19" t="str">
        <x:v>BAT0027</x:v>
      </x:c>
      <x:c r="C31" s="19" t="str">
        <x:v>513J9R2</x:v>
      </x:c>
      <x:c r="D31" s="19" t="str">
        <x:v>EQUIPMENT/UNKNOWN</x:v>
      </x:c>
    </x:row>
    <x:row r="32">
      <x:c r="A32" s="19" t="str">
        <x:v>SER0028</x:v>
      </x:c>
      <x:c r="B32" s="19" t="str">
        <x:v>BAT0033</x:v>
      </x:c>
      <x:c r="C32" s="19" t="str">
        <x:v>EIK8R0016805X</x:v>
      </x:c>
      <x:c r="D32" s="19" t="str">
        <x:v>EQUIPMENT/UNKNOWN</x:v>
      </x:c>
    </x:row>
    <x:row r="33">
      <x:c r="A33" s="19" t="str">
        <x:v>SER0029</x:v>
      </x:c>
      <x:c r="B33" s="19" t="str">
        <x:v>BAT0034</x:v>
      </x:c>
      <x:c r="C33" s="19" t="str">
        <x:v>P20241213180</x:v>
      </x:c>
      <x:c r="D33" s="19" t="str">
        <x:v>EQUIPMENT/UNKNOWN</x:v>
      </x:c>
    </x:row>
    <x:row r="34">
      <x:c r="A34" s="19" t="str">
        <x:v>SER0030</x:v>
      </x:c>
      <x:c r="B34" s="19" t="str">
        <x:v>BAT0038</x:v>
      </x:c>
      <x:c r="C34" s="19" t="str">
        <x:v>76141829</x:v>
      </x:c>
      <x:c r="D34" s="19" t="str">
        <x:v>EQUIPMENT/UNKNOWN</x:v>
      </x:c>
    </x:row>
    <x:row r="35">
      <x:c r="A35" s="19" t="str">
        <x:v>SER0031</x:v>
      </x:c>
      <x:c r="B35" s="19" t="str">
        <x:v>BAT0039</x:v>
      </x:c>
      <x:c r="C35" s="19" t="str">
        <x:v>5CD4485C75</x:v>
      </x:c>
      <x:c r="D35" s="19" t="str">
        <x:v>EQUIPMENT/UNKNOWN</x:v>
      </x:c>
    </x:row>
    <x:row r="36">
      <x:c r="A36" s="19" t="str">
        <x:v>SER0032</x:v>
      </x:c>
      <x:c r="B36" s="19" t="str">
        <x:v>BAT0040</x:v>
      </x:c>
      <x:c r="C36" s="19" t="str">
        <x:v>5CD4485C76</x:v>
      </x:c>
      <x:c r="D36" s="19" t="str">
        <x:v>EQUIPMENT/UNKNOWN</x:v>
      </x:c>
    </x:row>
    <x:row r="37">
      <x:c r="A37" s="19" t="str">
        <x:v>SER0033</x:v>
      </x:c>
      <x:c r="B37" s="19" t="str">
        <x:v>BAT0042</x:v>
      </x:c>
      <x:c r="C37" s="19" t="str">
        <x:v>X88Z1900870</x:v>
      </x:c>
      <x:c r="D37" s="19" t="str">
        <x:v>EQUIPMENT/UNKNOWN</x:v>
      </x:c>
    </x:row>
    <x:row r="38">
      <x:c r="A38" s="19" t="str">
        <x:v>SER0034</x:v>
      </x:c>
      <x:c r="B38" s="19" t="str">
        <x:v>BAT0043</x:v>
      </x:c>
      <x:c r="C38" s="19" t="str">
        <x:v>X88Z1900870</x:v>
      </x:c>
      <x:c r="D38" s="19" t="str">
        <x:v>EQUIPMENT/UNKNOWN</x:v>
      </x:c>
    </x:row>
    <x:row r="39">
      <x:c r="A39" s="19" t="str">
        <x:v>SER0035</x:v>
      </x:c>
      <x:c r="B39" s="19" t="str">
        <x:v>BAT0045</x:v>
      </x:c>
      <x:c r="C39" s="19" t="str">
        <x:v>X88Z1900870</x:v>
      </x:c>
      <x:c r="D39" s="19" t="str">
        <x:v>EQUIPMENT/UNKNOWN</x:v>
      </x:c>
    </x:row>
    <x:row r="40">
      <x:c r="A40" s="19" t="str">
        <x:v>SER0036</x:v>
      </x:c>
      <x:c r="B40" s="19" t="str">
        <x:v>BAT0052</x:v>
      </x:c>
      <x:c r="C40" s="19" t="str">
        <x:v>X88Z3X07010</x:v>
      </x:c>
      <x:c r="D40" s="19" t="str">
        <x:v>EQUIPMENT/UNKNOWN</x:v>
      </x:c>
    </x:row>
    <x:row r="41">
      <x:c r="A41" s="19" t="str">
        <x:v>SER0037</x:v>
      </x:c>
      <x:c r="B41" s="19" t="str">
        <x:v>BAT0054</x:v>
      </x:c>
      <x:c r="C41" s="19" t="str">
        <x:v>9B6XKG5</x:v>
      </x:c>
      <x:c r="D41" s="19" t="str">
        <x:v>EQUIPMENT/UNKNOWN</x:v>
      </x:c>
    </x:row>
    <x:row r="42">
      <x:c r="A42" s="19" t="str">
        <x:v>SER0038</x:v>
      </x:c>
      <x:c r="B42" s="19" t="str">
        <x:v>BAT0055</x:v>
      </x:c>
      <x:c r="C42" s="19" t="str">
        <x:v>SGBSX88075</x:v>
      </x:c>
      <x:c r="D42" s="19" t="str">
        <x:v>EQUIPMENT/UNKNOWN</x:v>
      </x:c>
    </x:row>
    <x:row r="43">
      <x:c r="A43" s="19" t="str">
        <x:v>SER0039</x:v>
      </x:c>
      <x:c r="B43" s="19" t="str">
        <x:v>BAT0056</x:v>
      </x:c>
      <x:c r="C43" s="19" t="str">
        <x:v>S2LY338134</x:v>
      </x:c>
      <x:c r="D43" s="19" t="str">
        <x:v>EQUIPMENT/UNKNOWN</x:v>
      </x:c>
    </x:row>
    <x:row r="44">
      <x:c r="A44" s="19" t="str">
        <x:v>SER0040</x:v>
      </x:c>
      <x:c r="B44" s="19" t="str">
        <x:v>BAT0060</x:v>
      </x:c>
      <x:c r="C44" s="19" t="str">
        <x:v>S2LY322882</x:v>
      </x:c>
      <x:c r="D44" s="19" t="str">
        <x:v>EQUIPMENT/UNKNOWN</x:v>
      </x:c>
    </x:row>
    <x:row r="45">
      <x:c r="A45" s="19" t="str">
        <x:v>SER0041</x:v>
      </x:c>
      <x:c r="B45" s="19" t="str">
        <x:v>BAT0061</x:v>
      </x:c>
      <x:c r="C45" s="19" t="str">
        <x:v>CNH8F33G</x:v>
      </x:c>
      <x:c r="D45" s="19" t="str">
        <x:v>EQUIPMENT/UNKNOWN</x:v>
      </x:c>
    </x:row>
    <x:row r="46">
      <x:c r="A46" s="19" t="str">
        <x:v>SER0042</x:v>
      </x:c>
      <x:c r="B46" s="19" t="str">
        <x:v>BAT0063</x:v>
      </x:c>
      <x:c r="C46" s="19" t="str">
        <x:v>S2LY322880</x:v>
      </x:c>
      <x:c r="D46" s="19" t="str">
        <x:v>EQUIPMENT/UNKNOWN</x:v>
      </x:c>
    </x:row>
    <x:row r="47">
      <x:c r="A47" s="19" t="str">
        <x:v>SER0043</x:v>
      </x:c>
      <x:c r="B47" s="19" t="str">
        <x:v>BAT0064</x:v>
      </x:c>
      <x:c r="C47" s="19" t="str">
        <x:v>S2LY338134</x:v>
      </x:c>
      <x:c r="D47" s="19" t="str">
        <x:v>EQUIPMENT/UNKNOWN</x:v>
      </x:c>
    </x:row>
    <x:row r="48">
      <x:c r="A48" s="19" t="str">
        <x:v>SER0044</x:v>
      </x:c>
      <x:c r="B48" s="19" t="str">
        <x:v>BAT0065</x:v>
      </x:c>
      <x:c r="C48" s="19" t="str">
        <x:v>200630J1410</x:v>
      </x:c>
      <x:c r="D48" s="19" t="str">
        <x:v>EQUIPMENT/UNKNOWN</x:v>
      </x:c>
    </x:row>
    <x:row r="49">
      <x:c r="A49" s="19" t="str">
        <x:v>SER0045</x:v>
      </x:c>
      <x:c r="B49" s="19" t="str">
        <x:v>BAT0066</x:v>
      </x:c>
      <x:c r="C49" s="19" t="str">
        <x:v>D2202499</x:v>
      </x:c>
      <x:c r="D49" s="19" t="str">
        <x:v>EQUIPMENT/UNKNOWN</x:v>
      </x:c>
    </x:row>
    <x:row r="50">
      <x:c r="A50" s="19" t="str">
        <x:v>SER0046</x:v>
      </x:c>
      <x:c r="B50" s="19" t="str">
        <x:v>BAT0067</x:v>
      </x:c>
      <x:c r="C50" s="19" t="str">
        <x:v>0508286</x:v>
      </x:c>
      <x:c r="D50" s="19" t="str">
        <x:v>EQUIPMENT/UNKNOWN</x:v>
      </x:c>
    </x:row>
    <x:row r="51">
      <x:c r="A51" s="19" t="str">
        <x:v>SER0047</x:v>
      </x:c>
      <x:c r="B51" s="19" t="str">
        <x:v>BAT0068</x:v>
      </x:c>
      <x:c r="C51" s="19" t="str">
        <x:v>D2202500</x:v>
      </x:c>
      <x:c r="D51" s="19" t="str">
        <x:v>EQUIPMENT/UNKNOWN</x:v>
      </x:c>
    </x:row>
    <x:row r="52">
      <x:c r="A52" s="19" t="str">
        <x:v>SER0048</x:v>
      </x:c>
      <x:c r="B52" s="19" t="str">
        <x:v>BAT0069</x:v>
      </x:c>
      <x:c r="C52" s="19" t="str">
        <x:v>1710082</x:v>
      </x:c>
      <x:c r="D52" s="19" t="str">
        <x:v>EQUIPMENT/UNKNOWN</x:v>
      </x:c>
    </x:row>
    <x:row r="53">
      <x:c r="A53" s="19" t="str">
        <x:v>SER0049</x:v>
      </x:c>
      <x:c r="B53" s="19" t="str">
        <x:v>BAT0070</x:v>
      </x:c>
      <x:c r="C53" s="19" t="str">
        <x:v>C1808262</x:v>
      </x:c>
      <x:c r="D53" s="19" t="str">
        <x:v>EQUIPMENT/UNKNOWN</x:v>
      </x:c>
    </x:row>
    <x:row r="54">
      <x:c r="A54" s="19" t="str">
        <x:v>SER0050</x:v>
      </x:c>
      <x:c r="B54" s="19" t="str">
        <x:v>BAT0072</x:v>
      </x:c>
      <x:c r="C54" s="19" t="str">
        <x:v>1710086</x:v>
      </x:c>
      <x:c r="D54" s="19" t="str">
        <x:v>EQUIPMENT/UNKNOWN</x:v>
      </x:c>
    </x:row>
    <x:row r="55">
      <x:c r="A55" s="19" t="str">
        <x:v>SER0051</x:v>
      </x:c>
      <x:c r="B55" s="19" t="str">
        <x:v>BAT0074</x:v>
      </x:c>
      <x:c r="C55" s="19" t="str">
        <x:v>1710086</x:v>
      </x:c>
      <x:c r="D55" s="19" t="str">
        <x:v>EQUIPMENT/UNKNOWN</x:v>
      </x:c>
    </x:row>
    <x:row r="56">
      <x:c r="A56" s="19" t="str">
        <x:v>SER0052</x:v>
      </x:c>
      <x:c r="B56" s="19" t="str">
        <x:v>BAT0075</x:v>
      </x:c>
      <x:c r="C56" s="19" t="str">
        <x:v>200630J1422</x:v>
      </x:c>
      <x:c r="D56" s="19" t="str">
        <x:v>EQUIPMENT/UNKNOWN</x:v>
      </x:c>
    </x:row>
    <x:row r="57">
      <x:c r="A57" s="19" t="str">
        <x:v>SER0053</x:v>
      </x:c>
      <x:c r="B57" s="19" t="str">
        <x:v>BAT0078</x:v>
      </x:c>
      <x:c r="C57" s="19" t="str">
        <x:v>D2103010</x:v>
      </x:c>
      <x:c r="D57" s="19" t="str">
        <x:v>EQUIPMENT/UNKNOWN</x:v>
      </x:c>
    </x:row>
    <x:row r="58">
      <x:c r="A58" s="19" t="str">
        <x:v>SER0054</x:v>
      </x:c>
      <x:c r="B58" s="19" t="str">
        <x:v>BAT0079</x:v>
      </x:c>
      <x:c r="C58" s="19" t="str">
        <x:v>1710086</x:v>
      </x:c>
      <x:c r="D58" s="19" t="str">
        <x:v>EQUIPMENT/UNKNOWN</x:v>
      </x:c>
    </x:row>
    <x:row r="59">
      <x:c r="A59" s="19" t="str">
        <x:v>SER0055</x:v>
      </x:c>
      <x:c r="B59" s="19" t="str">
        <x:v>BAT0080</x:v>
      </x:c>
      <x:c r="C59" s="19" t="str">
        <x:v>E2503868</x:v>
      </x:c>
      <x:c r="D59" s="19" t="str">
        <x:v>EQUIPMENT/UNKNOWN</x:v>
      </x:c>
    </x:row>
    <x:row r="60">
      <x:c r="A60" s="19" t="str">
        <x:v>SER0056</x:v>
      </x:c>
      <x:c r="B60" s="19" t="str">
        <x:v>BAT0080</x:v>
      </x:c>
      <x:c r="C60" s="19" t="str">
        <x:v>E2503869</x:v>
      </x:c>
      <x:c r="D60" s="19" t="str">
        <x:v>EQUIPMENT/UNKNOWN</x:v>
      </x:c>
    </x:row>
    <x:row r="61">
      <x:c r="A61" s="19" t="str">
        <x:v>SER0057</x:v>
      </x:c>
      <x:c r="B61" s="19" t="str">
        <x:v>BAT0081</x:v>
      </x:c>
      <x:c r="C61" s="19" t="str">
        <x:v>1710086</x:v>
      </x:c>
      <x:c r="D61" s="19" t="str">
        <x:v>EQUIPMENT/UNKNOWN</x:v>
      </x:c>
    </x:row>
  </x:sheetData>
  <x:mergeCells>
    <x:mergeCell ref="A1:D1"/>
  </x:mergeCells>
  <x:pageMargins left="0.7" right="0.7" top="0.75" bottom="0.75" header="0.3" footer="0.3"/>
  <x:tableParts count="1">
    <x:tablePart xmlns:r="http://schemas.openxmlformats.org/officeDocument/2006/relationships" r:id="R0c7e24396474444a"/>
  </x:tableParts>
</x:worksheet>
</file>

<file path=xl/worksheets/sheet11.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3" hidden="0" customWidth="1"/>
    <x:col min="5" max="5" width="14" hidden="0" customWidth="1"/>
    <x:col min="6" max="6" width="22" hidden="0" customWidth="1"/>
    <x:col min="7" max="7" width="13" hidden="0" customWidth="1"/>
    <x:col min="8" max="8" width="14"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36" hidden="0" customWidth="1"/>
    <x:col min="21" max="21" width="55" hidden="0" customWidth="1"/>
  </x:cols>
  <x:sheetData>
    <x:row r="1">
      <x:c r="A1" s="5" t="str">
        <x:v>Computers — categorized attributes by purchase batch</x:v>
      </x:c>
    </x:row>
    <x:row r="2">
      <x:c r="A2" s="24" t="str">
        <x:v>Rows: 28</x:v>
      </x:c>
    </x:row>
    <x:row r="4" ht="34" customHeight="1">
      <x:c r="A4" s="18" t="str">
        <x:v>batch_id</x:v>
      </x:c>
      <x:c r="B4" s="18" t="str">
        <x:v>lab_code</x:v>
      </x:c>
      <x:c r="C4" s="18" t="str">
        <x:v>lab_name</x:v>
      </x:c>
      <x:c r="D4" s="18" t="str">
        <x:v>dead_stock_sr_no</x:v>
      </x:c>
      <x:c r="E4" s="18" t="str">
        <x:v>brand</x:v>
      </x:c>
      <x:c r="F4" s="18" t="str">
        <x:v>model_name</x:v>
      </x:c>
      <x:c r="G4" s="18" t="str">
        <x:v>purchase_date</x:v>
      </x:c>
      <x:c r="H4" s="18" t="str">
        <x:v>quantity_current</x:v>
      </x:c>
      <x:c r="I4" s="18" t="str">
        <x:v>quantity_original</x:v>
      </x:c>
      <x:c r="J4" s="18" t="str">
        <x:v>unit_rate</x:v>
      </x:c>
      <x:c r="K4" s="18" t="str">
        <x:v>total_cost</x:v>
      </x:c>
      <x:c r="L4" s="18" t="str">
        <x:v>supplier_name</x:v>
      </x:c>
      <x:c r="M4" s="18" t="str">
        <x:v>warranty_years</x:v>
      </x:c>
      <x:c r="N4" s="18" t="str">
        <x:v>status</x:v>
      </x:c>
      <x:c r="O4" s="18" t="str">
        <x:v>processor</x:v>
      </x:c>
      <x:c r="P4" s="18" t="str">
        <x:v>ram_gb</x:v>
      </x:c>
      <x:c r="Q4" s="18" t="str">
        <x:v>storage</x:v>
      </x:c>
      <x:c r="R4" s="18" t="str">
        <x:v>operating_system</x:v>
      </x:c>
      <x:c r="S4" s="18" t="str">
        <x:v>monitor_size_in</x:v>
      </x:c>
      <x:c r="T4" s="18" t="str">
        <x:v>serial_numbers_raw</x:v>
      </x:c>
      <x:c r="U4" s="18" t="str">
        <x:v>raw_description</x:v>
      </x:c>
    </x:row>
    <x:row r="5" ht="34" customHeight="1">
      <x:c r="A5" s="19" t="str">
        <x:v>BAT0005</x:v>
      </x:c>
      <x:c r="B5" s="19" t="str">
        <x:v>D-01</x:v>
      </x:c>
      <x:c r="C5" s="19" t="str">
        <x:v>Linux Laboratory</x:v>
      </x:c>
      <x:c r="D5" s="19" t="str">
        <x:v>032</x:v>
      </x:c>
      <x:c r="E5" s="19" t="str">
        <x:v>Dell</x:v>
      </x:c>
      <x:c r="F5" s="19" t="str">
        <x:v>OptiPlex 3010</x:v>
      </x:c>
      <x:c r="G5" s="28" t="n">
        <x:v>41540</x:v>
      </x:c>
      <x:c r="H5" s="19" t="n">
        <x:v>20</x:v>
      </x:c>
      <x:c r="I5" s="19" t="n">
        <x:v>20</x:v>
      </x:c>
      <x:c r="J5" s="26" t="n">
        <x:v>33600</x:v>
      </x:c>
      <x:c r="K5" s="26" t="n">
        <x:v>672000</x:v>
      </x:c>
      <x:c r="L5" s="19" t="str">
        <x:v>Veetrag Computers Private Ltd.</x:v>
      </x:c>
      <x:c r="M5" s="19"/>
      <x:c r="N5" s="19" t="str">
        <x:v>ACTIVE/RECORDED</x:v>
      </x:c>
      <x:c r="O5" s="19" t="str">
        <x:v>Intel Core i5 3470 Processor</x:v>
      </x:c>
      <x:c r="P5" s="19" t="n">
        <x:v>4</x:v>
      </x:c>
      <x:c r="Q5" s="19" t="str"/>
      <x:c r="R5" s="19" t="str"/>
      <x:c r="S5" s="19" t="n">
        <x:v>18.5</x:v>
      </x:c>
      <x:c r="T5" s="19" t="str"/>
      <x:c r="U5" s="19" t="str">
        <x:v>DELL Optiplex 3010 : Dt- i5 Intel Core i5 3470 Processor 3.20 Ghz, 6 MB, 3rd Generation, 500 GB Sata Harddisk, 4 GB DDR3 RAM, Chipset Motherboard, HD Graphics, LAN Card, USB Keyboard, Mouse, 18.5" widescreen LED Monitor, Windows License Dell</x:v>
      </x:c>
    </x:row>
    <x:row r="6" ht="34" customHeight="1">
      <x:c r="A6" s="19" t="str">
        <x:v>BAT0006</x:v>
      </x:c>
      <x:c r="B6" s="19" t="str">
        <x:v>D-01</x:v>
      </x:c>
      <x:c r="C6" s="19" t="str">
        <x:v>Linux Laboratory</x:v>
      </x:c>
      <x:c r="D6" s="19" t="str">
        <x:v>042</x:v>
      </x:c>
      <x:c r="E6" s="19" t="str">
        <x:v>Dell</x:v>
      </x:c>
      <x:c r="F6" s="19" t="str">
        <x:v>OptiPlex 5090 SFF</x:v>
      </x:c>
      <x:c r="G6" s="28" t="n">
        <x:v>44646</x:v>
      </x:c>
      <x:c r="H6" s="19" t="n">
        <x:v>2</x:v>
      </x:c>
      <x:c r="I6" s="19" t="n">
        <x:v>2</x:v>
      </x:c>
      <x:c r="J6" s="26" t="n">
        <x:v>86933</x:v>
      </x:c>
      <x:c r="K6" s="26" t="n">
        <x:v>173866</x:v>
      </x:c>
      <x:c r="L6" s="19" t="str">
        <x:v>Veetrag Computers Private Ltd.</x:v>
      </x:c>
      <x:c r="M6" s="19" t="n">
        <x:v>3</x:v>
      </x:c>
      <x:c r="N6" s="19" t="str">
        <x:v>ACTIVE/RECORDED</x:v>
      </x:c>
      <x:c r="O6" s="19" t="str">
        <x:v>Intel Core i7-11700</x:v>
      </x:c>
      <x:c r="P6" s="19" t="n">
        <x:v>8</x:v>
      </x:c>
      <x:c r="Q6" s="19" t="str"/>
      <x:c r="R6" s="19" t="str">
        <x:v>Windows 10</x:v>
      </x:c>
      <x:c r="S6" s="19" t="n">
        <x:v>19</x:v>
      </x:c>
      <x:c r="T6" s="19" t="str"/>
      <x:c r="U6" s="19" t="str">
        <x:v>Computer: 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Warranty: 3 Years Next Business Day Onsite Service by DELL Sr. No. DELL</x:v>
      </x:c>
    </x:row>
    <x:row r="7" ht="34" customHeight="1">
      <x:c r="A7" s="19" t="str">
        <x:v>BAT0007</x:v>
      </x:c>
      <x:c r="B7" s="19" t="str">
        <x:v>D-02</x:v>
      </x:c>
      <x:c r="C7" s="19" t="str">
        <x:v>Database Laboratory</x:v>
      </x:c>
      <x:c r="D7" s="19" t="str">
        <x:v>020</x:v>
      </x:c>
      <x:c r="E7" s="19" t="str">
        <x:v>Dell</x:v>
      </x:c>
      <x:c r="F7" s="19" t="str">
        <x:v>OptiPlex 360</x:v>
      </x:c>
      <x:c r="G7" s="28" t="n">
        <x:v>40071</x:v>
      </x:c>
      <x:c r="H7" s="19" t="n">
        <x:v>20</x:v>
      </x:c>
      <x:c r="I7" s="19" t="n">
        <x:v>20</x:v>
      </x:c>
      <x:c r="J7" s="26" t="n">
        <x:v>28975</x:v>
      </x:c>
      <x:c r="K7" s="26" t="n">
        <x:v>579500</x:v>
      </x:c>
      <x:c r="L7" s="19" t="str">
        <x:v>Veetrag Computers Private Ltd.</x:v>
      </x:c>
      <x:c r="M7" s="19" t="n">
        <x:v>3</x:v>
      </x:c>
      <x:c r="N7" s="19" t="str">
        <x:v>ACTIVE/RECORDED</x:v>
      </x:c>
      <x:c r="O7" s="19" t="str">
        <x:v>Intel Core 2 Deo E7500</x:v>
      </x:c>
      <x:c r="P7" s="19" t="n">
        <x:v>2</x:v>
      </x:c>
      <x:c r="Q7" s="19" t="str">
        <x:v>250 GB HDD</x:v>
      </x:c>
      <x:c r="R7" s="19" t="str"/>
      <x:c r="S7" s="19"/>
      <x:c r="T7" s="19" t="str"/>
      <x:c r="U7" s="19" t="str">
        <x:v>Dell Optiplex 360 (C2D 2.9/ 2GB/ 250 GB HDD/ DVDRW/ 3 Year Warranty) Intel Core 2 Deo E7500 (2.93 Ghz, 3 MB L2 Cache, 1066 Mz FSB) 2 GB DDR2 @ 800 Mhz SD RAM Memory, 250 GB SATA HDD @ 7200 RPM, 16 X Max DVD +/-RW with Dual Layer write Capabilities, Intel G31/Q33 Express Chipset Motherboard Intel Graphics Media X3100, Integrated Gigabyte LAN, Keyboard, Optical USB Mouse + MAT, Internal Speaker, 8 USB 8.0, 1 Ethernet (RJ-45), 1 Serial, 1 Parallel, 1 VGA out, 1 Sterio Line in, 1 Microphone In, 1 Speaker Iine out, 1 headphone, Monitor/BTD Cabinet ( 3 Years Onsite Warranty) Dell</x:v>
      </x:c>
    </x:row>
    <x:row r="8" ht="34" customHeight="1">
      <x:c r="A8" s="19" t="str">
        <x:v>BAT0008</x:v>
      </x:c>
      <x:c r="B8" s="19" t="str">
        <x:v>D-02</x:v>
      </x:c>
      <x:c r="C8" s="19" t="str">
        <x:v>Database Laboratory</x:v>
      </x:c>
      <x:c r="D8" s="19" t="str">
        <x:v>031</x:v>
      </x:c>
      <x:c r="E8" s="19" t="str">
        <x:v>Dell</x:v>
      </x:c>
      <x:c r="F8" s="19" t="str">
        <x:v>OptiPlex 3040</x:v>
      </x:c>
      <x:c r="G8" s="28" t="n">
        <x:v>42620</x:v>
      </x:c>
      <x:c r="H8" s="19" t="n">
        <x:v>10</x:v>
      </x:c>
      <x:c r="I8" s="19" t="n">
        <x:v>10</x:v>
      </x:c>
      <x:c r="J8" s="26" t="n">
        <x:v>42500</x:v>
      </x:c>
      <x:c r="K8" s="26" t="n">
        <x:v>425000</x:v>
      </x:c>
      <x:c r="L8" s="19" t="str">
        <x:v>Veetrag Computers Private Ltd.</x:v>
      </x:c>
      <x:c r="M8" s="19"/>
      <x:c r="N8" s="19" t="str">
        <x:v>ACTIVE/RECORDED</x:v>
      </x:c>
      <x:c r="O8" s="19" t="str"/>
      <x:c r="P8" s="19"/>
      <x:c r="Q8" s="19" t="str"/>
      <x:c r="R8" s="19" t="str"/>
      <x:c r="S8" s="19"/>
      <x:c r="T8" s="19" t="str"/>
      <x:c r="U8" s="19" t="str">
        <x:v>Dell Optiplex 3040 Dell</x:v>
      </x:c>
    </x:row>
    <x:row r="9" ht="34" customHeight="1">
      <x:c r="A9" s="19" t="str">
        <x:v>BAT0009</x:v>
      </x:c>
      <x:c r="B9" s="19" t="str">
        <x:v>D-02</x:v>
      </x:c>
      <x:c r="C9" s="19" t="str">
        <x:v>Database Laboratory</x:v>
      </x:c>
      <x:c r="D9" s="19" t="str">
        <x:v>037</x:v>
      </x:c>
      <x:c r="E9" s="19" t="str">
        <x:v>Dell</x:v>
      </x:c>
      <x:c r="F9" s="19" t="str">
        <x:v>OptiPlex 5090 SFF</x:v>
      </x:c>
      <x:c r="G9" s="28" t="n">
        <x:v>44646</x:v>
      </x:c>
      <x:c r="H9" s="19" t="n">
        <x:v>10</x:v>
      </x:c>
      <x:c r="I9" s="19" t="n">
        <x:v>10</x:v>
      </x:c>
      <x:c r="J9" s="26" t="n">
        <x:v>86933</x:v>
      </x:c>
      <x:c r="K9" s="26" t="n">
        <x:v>869330</x:v>
      </x:c>
      <x:c r="L9" s="19" t="str">
        <x:v>Veetrag Computers Private Ltd.</x:v>
      </x:c>
      <x:c r="M9" s="19" t="n">
        <x:v>3</x:v>
      </x:c>
      <x:c r="N9" s="19" t="str">
        <x:v>ACTIVE/RECORDED</x:v>
      </x:c>
      <x:c r="O9" s="19" t="str">
        <x:v>Intel Core i7-11700</x:v>
      </x:c>
      <x:c r="P9" s="19" t="n">
        <x:v>8</x:v>
      </x:c>
      <x:c r="Q9" s="19" t="str"/>
      <x:c r="R9" s="19" t="str">
        <x:v>Windows 10</x:v>
      </x:c>
      <x:c r="S9" s="19" t="n">
        <x:v>19</x:v>
      </x:c>
      <x:c r="T9" s="19" t="str"/>
      <x:c r="U9" s="19" t="str">
        <x:v>Computer: 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DELL</x:v>
      </x:c>
    </x:row>
    <x:row r="10" ht="34" customHeight="1">
      <x:c r="A10" s="19" t="str">
        <x:v>BAT0010</x:v>
      </x:c>
      <x:c r="B10" s="19" t="str">
        <x:v>D-03</x:v>
      </x:c>
      <x:c r="C10" s="19" t="str">
        <x:v>Project Laboratory</x:v>
      </x:c>
      <x:c r="D10" s="19" t="str">
        <x:v>029</x:v>
      </x:c>
      <x:c r="E10" s="19" t="str">
        <x:v>Dell</x:v>
      </x:c>
      <x:c r="F10" s="19" t="str">
        <x:v>OptiPlex 360</x:v>
      </x:c>
      <x:c r="G10" s="28" t="n">
        <x:v>40071</x:v>
      </x:c>
      <x:c r="H10" s="19" t="n">
        <x:v>17</x:v>
      </x:c>
      <x:c r="I10" s="19" t="n">
        <x:v>17</x:v>
      </x:c>
      <x:c r="J10" s="26" t="n">
        <x:v>28975</x:v>
      </x:c>
      <x:c r="K10" s="26" t="n">
        <x:v>492575</x:v>
      </x:c>
      <x:c r="L10" s="19" t="str">
        <x:v>Veetrag Computers Private Ltd.</x:v>
      </x:c>
      <x:c r="M10" s="19" t="n">
        <x:v>3</x:v>
      </x:c>
      <x:c r="N10" s="19" t="str">
        <x:v>ACTIVE/RECORDED</x:v>
      </x:c>
      <x:c r="O10" s="19" t="str"/>
      <x:c r="P10" s="19"/>
      <x:c r="Q10" s="19" t="str">
        <x:v>250 GB HDD</x:v>
      </x:c>
      <x:c r="R10" s="19" t="str"/>
      <x:c r="S10" s="19"/>
      <x:c r="T10" s="19" t="str"/>
      <x:c r="U10" s="19" t="str">
        <x:v>Dell OptiPlex 360 (C2D 2.9/ 2GB/ 250 GB HDD/ DVDRW/ 3 Year Warranty) Intel Core 2 Deo, E7500, (2.93 GHz, 3 MB L2 Catch, 2 GB DDR 2 SD RAM, HDD 250 GB, Monitor TFT, Key Board, mouse DELL</x:v>
      </x:c>
    </x:row>
    <x:row r="11" ht="34" customHeight="1">
      <x:c r="A11" s="19" t="str">
        <x:v>BAT0011</x:v>
      </x:c>
      <x:c r="B11" s="19" t="str">
        <x:v>D-03</x:v>
      </x:c>
      <x:c r="C11" s="19" t="str">
        <x:v>Project Laboratory</x:v>
      </x:c>
      <x:c r="D11" s="19" t="str">
        <x:v>041</x:v>
      </x:c>
      <x:c r="E11" s="19" t="str">
        <x:v>Dell</x:v>
      </x:c>
      <x:c r="F11" s="19" t="str">
        <x:v>OptiPlex 3020 MT</x:v>
      </x:c>
      <x:c r="G11" s="28" t="n">
        <x:v>42043</x:v>
      </x:c>
      <x:c r="H11" s="19" t="n">
        <x:v>10</x:v>
      </x:c>
      <x:c r="I11" s="19" t="n">
        <x:v>10</x:v>
      </x:c>
      <x:c r="J11" s="26" t="n">
        <x:v>39500</x:v>
      </x:c>
      <x:c r="K11" s="26" t="n">
        <x:v>395000</x:v>
      </x:c>
      <x:c r="L11" s="19" t="str">
        <x:v>Veetrag Computers Private Ltd.</x:v>
      </x:c>
      <x:c r="M11" s="19"/>
      <x:c r="N11" s="19" t="str">
        <x:v>ACTIVE/RECORDED</x:v>
      </x:c>
      <x:c r="O11" s="19" t="str"/>
      <x:c r="P11" s="19"/>
      <x:c r="Q11" s="19" t="str">
        <x:v>500 GB HDD</x:v>
      </x:c>
      <x:c r="R11" s="19" t="str"/>
      <x:c r="S11" s="19"/>
      <x:c r="T11" s="19" t="str"/>
      <x:c r="U11" s="19" t="str">
        <x:v>Dell Computers: Dell Optiplex 3020 MT, Intel Core I 5-4570 Processor Quad Core with Mini tower, HD Graphics, 4 GB 1 DiMM Non EDD, 500 GB HDD, Monitor 19", Dell Optical Mouse &amp; USB KeyBoard DELL</x:v>
      </x:c>
    </x:row>
    <x:row r="12" ht="34" customHeight="1">
      <x:c r="A12" s="19" t="str">
        <x:v>BAT0012</x:v>
      </x:c>
      <x:c r="B12" s="19" t="str">
        <x:v>D-03</x:v>
      </x:c>
      <x:c r="C12" s="19" t="str">
        <x:v>Project Laboratory</x:v>
      </x:c>
      <x:c r="D12" s="19" t="str">
        <x:v>048</x:v>
      </x:c>
      <x:c r="E12" s="19" t="str">
        <x:v>Dell</x:v>
      </x:c>
      <x:c r="F12" s="19" t="str">
        <x:v>OptiPlex 3060 MT</x:v>
      </x:c>
      <x:c r="G12" s="28" t="n">
        <x:v>43337</x:v>
      </x:c>
      <x:c r="H12" s="19" t="n">
        <x:v>16</x:v>
      </x:c>
      <x:c r="I12" s="19" t="n">
        <x:v>16</x:v>
      </x:c>
      <x:c r="J12" s="26" t="n">
        <x:v>47500</x:v>
      </x:c>
      <x:c r="K12" s="26" t="n">
        <x:v>760000</x:v>
      </x:c>
      <x:c r="L12" s="19" t="str">
        <x:v>Veetrag Computers Private Ltd.</x:v>
      </x:c>
      <x:c r="M12" s="19" t="n">
        <x:v>3</x:v>
      </x:c>
      <x:c r="N12" s="19" t="str">
        <x:v>ACTIVE/RECORDED</x:v>
      </x:c>
      <x:c r="O12" s="19" t="str">
        <x:v>Intel Core i7 Processor-8700</x:v>
      </x:c>
      <x:c r="P12" s="19"/>
      <x:c r="Q12" s="19" t="str"/>
      <x:c r="R12" s="19" t="str">
        <x:v>Windows 10</x:v>
      </x:c>
      <x:c r="S12" s="19" t="n">
        <x:v>19</x:v>
      </x:c>
      <x:c r="T12" s="19" t="str"/>
      <x:c r="U12" s="19" t="str">
        <x:v>Dell Computers: Dell Optiflex 3060 MT (Ci7/4/6/4 GB/1 TB/18.5"/3 Year Intel Core i7 Processor-8700 (6 Core/12MB/12T/up to 4.6 GHz, 65W); Support Windows 10 / Linux 4 GB(1X4GB)2600Mhz DDR4 UDIMM nOn -ECC 3.5 inch 1 TB 7200 RPM SATA Hard Disk Drive Intel Integrated Graphics,Dell Optical Mouse MS116 Black, Dell Multimedia Keyboard KB216 Black Keyboard US International-(QWERTY),Tower with 260W up to, 19" Dell 1916 HE Monitor,Ubuntu Linux 16.04, Warranty: 3 Year Next Business Day Onsite Service By Dell Dell</x:v>
      </x:c>
    </x:row>
    <x:row r="13" ht="34" customHeight="1">
      <x:c r="A13" s="19" t="str">
        <x:v>BAT0013</x:v>
      </x:c>
      <x:c r="B13" s="19" t="str">
        <x:v>D-04</x:v>
      </x:c>
      <x:c r="C13" s="19" t="str">
        <x:v>Application Development Tool Laboratory</x:v>
      </x:c>
      <x:c r="D13" s="19" t="str">
        <x:v>026</x:v>
      </x:c>
      <x:c r="E13" s="19" t="str">
        <x:v>Dell</x:v>
      </x:c>
      <x:c r="F13" s="19" t="str">
        <x:v>OptiPlex 3020 MT</x:v>
      </x:c>
      <x:c r="G13" s="28" t="n">
        <x:v>42042</x:v>
      </x:c>
      <x:c r="H13" s="19" t="n">
        <x:v>10</x:v>
      </x:c>
      <x:c r="I13" s="19" t="n">
        <x:v>10</x:v>
      </x:c>
      <x:c r="J13" s="26" t="n">
        <x:v>39500</x:v>
      </x:c>
      <x:c r="K13" s="26" t="n">
        <x:v>395000</x:v>
      </x:c>
      <x:c r="L13" s="19" t="str">
        <x:v>Veetrag Computers Private Ltd.</x:v>
      </x:c>
      <x:c r="M13" s="19" t="n">
        <x:v>3</x:v>
      </x:c>
      <x:c r="N13" s="19" t="str">
        <x:v>ACTIVE/RECORDED</x:v>
      </x:c>
      <x:c r="O13" s="19" t="str"/>
      <x:c r="P13" s="19"/>
      <x:c r="Q13" s="19" t="str">
        <x:v>500 GB HDD</x:v>
      </x:c>
      <x:c r="R13" s="19" t="str">
        <x:v>Linux</x:v>
      </x:c>
      <x:c r="S13" s="19"/>
      <x:c r="T13" s="19" t="str"/>
      <x:c r="U13" s="19" t="str">
        <x:v>Dell Computers: Dell Optiplex 3020 MT, Intel Core I 5-4570 Processor Quad Core with Mini tower, HD Graphics, 4 GB 1 DiMM Non EDD, 500 GB HDD, DELL wide LED Monitor 18.5", Dell Optical Mouse &amp; USB KeyBoard Ubuntu Linux 12.04 3 Year Onsite Service (VAT @ 5 %) DELL Optiplex3020</x:v>
      </x:c>
    </x:row>
    <x:row r="14" ht="34" customHeight="1">
      <x:c r="A14" s="19" t="str">
        <x:v>BAT0014</x:v>
      </x:c>
      <x:c r="B14" s="19" t="str">
        <x:v>D-05</x:v>
      </x:c>
      <x:c r="C14" s="19" t="str">
        <x:v>Operating System Laboratory</x:v>
      </x:c>
      <x:c r="D14" s="19" t="str">
        <x:v>026</x:v>
      </x:c>
      <x:c r="E14" s="19" t="str">
        <x:v>Dell</x:v>
      </x:c>
      <x:c r="F14" s="19" t="str">
        <x:v>OptiPlex 3020 MT</x:v>
      </x:c>
      <x:c r="G14" s="28" t="n">
        <x:v>42042</x:v>
      </x:c>
      <x:c r="H14" s="19" t="n">
        <x:v>10</x:v>
      </x:c>
      <x:c r="I14" s="19" t="n">
        <x:v>10</x:v>
      </x:c>
      <x:c r="J14" s="26" t="n">
        <x:v>39500</x:v>
      </x:c>
      <x:c r="K14" s="26" t="n">
        <x:v>395000</x:v>
      </x:c>
      <x:c r="L14" s="19" t="str">
        <x:v>Veetrag Computers Private Ltd.</x:v>
      </x:c>
      <x:c r="M14" s="19"/>
      <x:c r="N14" s="19" t="str">
        <x:v>ACTIVE/RECORDED</x:v>
      </x:c>
      <x:c r="O14" s="19" t="str"/>
      <x:c r="P14" s="19"/>
      <x:c r="Q14" s="19" t="str">
        <x:v>500 GB HDD</x:v>
      </x:c>
      <x:c r="R14" s="19" t="str"/>
      <x:c r="S14" s="19"/>
      <x:c r="T14" s="19" t="str"/>
      <x:c r="U14" s="19" t="str">
        <x:v>Dell Optiplex 3020 MT, Intel Core I 5-4570 Processor Quad Core with Mini tower, HD Graphics, 4 GB 1 DiMM Non EDD, 500 GB HDD, Monitor 19", Dell Optical Mouse &amp; USB KeyBoard Dell</x:v>
      </x:c>
    </x:row>
    <x:row r="15" ht="34" customHeight="1">
      <x:c r="A15" s="19" t="str">
        <x:v>BAT0015</x:v>
      </x:c>
      <x:c r="B15" s="19" t="str">
        <x:v>D-05</x:v>
      </x:c>
      <x:c r="C15" s="19" t="str">
        <x:v>Operating System Laboratory</x:v>
      </x:c>
      <x:c r="D15" s="19" t="str">
        <x:v>032</x:v>
      </x:c>
      <x:c r="E15" s="19" t="str">
        <x:v>Dell</x:v>
      </x:c>
      <x:c r="F15" s="19" t="str">
        <x:v>OptiPlex 3050 MT</x:v>
      </x:c>
      <x:c r="G15" s="28" t="n">
        <x:v>43008</x:v>
      </x:c>
      <x:c r="H15" s="19" t="n">
        <x:v>13</x:v>
      </x:c>
      <x:c r="I15" s="19" t="n">
        <x:v>13</x:v>
      </x:c>
      <x:c r="J15" s="26" t="n">
        <x:v>44510</x:v>
      </x:c>
      <x:c r="K15" s="26" t="n">
        <x:v>578630</x:v>
      </x:c>
      <x:c r="L15" s="19" t="str">
        <x:v>Veetrag Computers Private Ltd.</x:v>
      </x:c>
      <x:c r="M15" s="19" t="n">
        <x:v>3</x:v>
      </x:c>
      <x:c r="N15" s="19" t="str">
        <x:v>ACTIVE/RECORDED</x:v>
      </x:c>
      <x:c r="O15" s="19" t="str">
        <x:v>Intel Core i7 Processor-770</x:v>
      </x:c>
      <x:c r="P15" s="19"/>
      <x:c r="Q15" s="19" t="str"/>
      <x:c r="R15" s="19" t="str">
        <x:v>Windows 10</x:v>
      </x:c>
      <x:c r="S15" s="19" t="n">
        <x:v>18.5</x:v>
      </x:c>
      <x:c r="T15" s="19" t="str"/>
      <x:c r="U15" s="19" t="str">
        <x:v>Dell Optiplex3050MT, Intel Core i7 Processor-770 (Quad Core, 8MB,8T 3.6 GHz, 65W); Spports Windows 10 / Linux 4 GB(1X4GB)2400Mhz DDR4 Memory, 1 TB 7.2K RPM SATA 6gbps Entry 3.5 inch SATAcabled Hard Drive, Integrated Intel HD Graphics, Dell OptiPlex VGA Video Port, Mini Tower, No PCI Add-in Card,No Wireless Card, Dell Optical Mouse MS116 Black, Dell Multimedia Keyboard KB216 Black Keyboard US International- (QWERTY) " Windows 10 Home(64bit) Single language English, Mini Tower Chasis +Standard 240 W SMPS,18.5" Dell 1916 HV Monitor. Warranty: 3 Year Next Bussiness Day Onsite Service By Dell Dell</x:v>
      </x:c>
    </x:row>
    <x:row r="16" ht="34" customHeight="1">
      <x:c r="A16" s="19" t="str">
        <x:v>BAT0016</x:v>
      </x:c>
      <x:c r="B16" s="19" t="str">
        <x:v>D-05</x:v>
      </x:c>
      <x:c r="C16" s="19" t="str">
        <x:v>Operating System Laboratory</x:v>
      </x:c>
      <x:c r="D16" s="19" t="str">
        <x:v>034</x:v>
      </x:c>
      <x:c r="E16" s="19" t="str">
        <x:v>Dell</x:v>
      </x:c>
      <x:c r="F16" s="19" t="str">
        <x:v>OptiPlex 3000 MT</x:v>
      </x:c>
      <x:c r="G16" s="28" t="n">
        <x:v>44893</x:v>
      </x:c>
      <x:c r="H16" s="19" t="n">
        <x:v>10</x:v>
      </x:c>
      <x:c r="I16" s="19" t="n">
        <x:v>10</x:v>
      </x:c>
      <x:c r="J16" s="26" t="n">
        <x:v>72260</x:v>
      </x:c>
      <x:c r="K16" s="26" t="n">
        <x:v>722600</x:v>
      </x:c>
      <x:c r="L16" s="19" t="str">
        <x:v>Veetrag Computers Private Ltd.</x:v>
      </x:c>
      <x:c r="M16" s="19" t="n">
        <x:v>3</x:v>
      </x:c>
      <x:c r="N16" s="19" t="str">
        <x:v>ACTIVE/RECORDED</x:v>
      </x:c>
      <x:c r="O16" s="19" t="str"/>
      <x:c r="P16" s="19" t="n">
        <x:v>8</x:v>
      </x:c>
      <x:c r="Q16" s="19" t="str">
        <x:v>512 GB SSD</x:v>
      </x:c>
      <x:c r="R16" s="19" t="str">
        <x:v>Windows 11</x:v>
      </x:c>
      <x:c r="S16" s="19"/>
      <x:c r="T16" s="19" t="str">
        <x:v>FPC6JT3, 6PC6JT3, BPC6JT3, HPC6J, 8PC6JT3</x:v>
      </x:c>
      <x:c r="U16" s="19" t="str">
        <x:v>DELL Optiplex 3000 MT (Ci5/3/0/8GB/512GB SSD/WIN11 Prof/19.5" 3Yrs) OptiPlex 3000 Tower Intel Ci5-12500 (6 Cores /18MB/12T/3.0Ghz to 4.6 Ghz/65W), Supports Win11DG/Linux) 8GB(1X8GB)DDR4 Non-ECC Memory, M.2 2230 512GB PCIe NVMe Class 35 Solid State Drive (EM) Intel Integrated Graphics, Thermal Pad for Tower SystemPower Cord India 6A, Internal Speaker, No Additional Add in Cards, No PCIe add- in card, No wireless LAN card, Dell USB Optical Mouse-MS116(EPEAT)-Black, Dell wired Keyboard KB216 Black, Windows 10 Pro(Includes Windows 11 Pro License)English, OS-Windows Media Not Included, Microsoft Office Trial 30 Days SW Drivers, Intel Rapid Storage technology, OptiPlex 3000 Dell(TM) Digital Delivery Cirrus Clint, Dell 20 Monitor-E2020H OptiPlex 3000 Tower with 180W Bronze Power Supply Warranty: 3 Years Next Business Day Onsite Service by DELL Sr.No.FPC6JT3,6PC6JT3,BPC6JT3,HPC6J T3,8PC6JT3.CPC6JT3, DPC6JT3,GPC6JT3,7PC6JT3,9PC6JT3,9P C6JT3 ( GST 18% Included) DELL</x:v>
      </x:c>
    </x:row>
    <x:row r="17" ht="34" customHeight="1">
      <x:c r="A17" s="19" t="str">
        <x:v>BAT0017</x:v>
      </x:c>
      <x:c r="B17" s="19" t="str">
        <x:v>D-06</x:v>
      </x:c>
      <x:c r="C17" s="19" t="str">
        <x:v>Web Development Tool Lab</x:v>
      </x:c>
      <x:c r="D17" s="19" t="str">
        <x:v>033</x:v>
      </x:c>
      <x:c r="E17" s="19" t="str">
        <x:v>Dell</x:v>
      </x:c>
      <x:c r="F17" s="19" t="str">
        <x:v>OptiPlex 3020 M</x:v>
      </x:c>
      <x:c r="G17" s="28" t="n">
        <x:v>42042</x:v>
      </x:c>
      <x:c r="H17" s="19" t="n">
        <x:v>20</x:v>
      </x:c>
      <x:c r="I17" s="19" t="n">
        <x:v>20</x:v>
      </x:c>
      <x:c r="J17" s="26" t="n">
        <x:v>39500</x:v>
      </x:c>
      <x:c r="K17" s="26" t="n">
        <x:v>790000</x:v>
      </x:c>
      <x:c r="L17" s="19" t="str">
        <x:v>Veetrag Computers Private Ltd.</x:v>
      </x:c>
      <x:c r="M17" s="19"/>
      <x:c r="N17" s="19" t="str">
        <x:v>ACTIVE/RECORDED</x:v>
      </x:c>
      <x:c r="O17" s="19" t="str"/>
      <x:c r="P17" s="19"/>
      <x:c r="Q17" s="19" t="str"/>
      <x:c r="R17" s="19" t="str">
        <x:v>Windows 8</x:v>
      </x:c>
      <x:c r="S17" s="19"/>
      <x:c r="T17" s="19" t="str"/>
      <x:c r="U17" s="19" t="str">
        <x:v>Dell Optiplex 3020 MI Interl Core i5-4570 Processor Quad Core, 6MB Cache, 3.2 GHz, HD Graphics 4600, Optiplex 3020, Mini Tower Chassis with Standard Power Supply, 4 GB 1 DIMM NDN-EDD, 1600 MHz Optiplex 500 GB, 3.5 inch serial ATA (7200 RPM) Hard Disk Drive, Mini Tower Chassis Mainstream Heat sink (95 Watts 16x Half Height DVD +/- RW Drive Monitor Power Cord (Euro India) 6A Intel Integrated Graphics, Internal Dell Business Audio Speaker, Dell MS111 USB optical Mouse Dell USB Entry Keyboard MS Media: Windows 8 (64 Bit) Resource DVD, # Year next Business Day onsite Service Dell</x:v>
      </x:c>
    </x:row>
    <x:row r="18" ht="34" customHeight="1">
      <x:c r="A18" s="19" t="str">
        <x:v>BAT0018</x:v>
      </x:c>
      <x:c r="B18" s="19" t="str">
        <x:v>D-06</x:v>
      </x:c>
      <x:c r="C18" s="19" t="str">
        <x:v>Web Development Tool Lab</x:v>
      </x:c>
      <x:c r="D18" s="19" t="str">
        <x:v>040</x:v>
      </x:c>
      <x:c r="E18" s="19" t="str">
        <x:v>Dell</x:v>
      </x:c>
      <x:c r="F18" s="19" t="str">
        <x:v>OptiPlex 5090 SFF</x:v>
      </x:c>
      <x:c r="G18" s="28" t="n">
        <x:v>44646</x:v>
      </x:c>
      <x:c r="H18" s="19" t="n">
        <x:v>3</x:v>
      </x:c>
      <x:c r="I18" s="19" t="n">
        <x:v>3</x:v>
      </x:c>
      <x:c r="J18" s="26" t="n">
        <x:v>70933</x:v>
      </x:c>
      <x:c r="K18" s="26" t="n">
        <x:v>212799</x:v>
      </x:c>
      <x:c r="L18" s="19" t="str">
        <x:v>Veetrag Computers Private Ltd.</x:v>
      </x:c>
      <x:c r="M18" s="19" t="n">
        <x:v>3</x:v>
      </x:c>
      <x:c r="N18" s="19" t="str">
        <x:v>ACTIVE/RECORDED</x:v>
      </x:c>
      <x:c r="O18" s="19" t="str">
        <x:v>Intel Core i5-11500</x:v>
      </x:c>
      <x:c r="P18" s="19" t="n">
        <x:v>8</x:v>
      </x:c>
      <x:c r="Q18" s="19" t="str"/>
      <x:c r="R18" s="19" t="str">
        <x:v>Windows 10</x:v>
      </x:c>
      <x:c r="S18" s="19" t="n">
        <x:v>19</x:v>
      </x:c>
      <x:c r="T18" s="19" t="str">
        <x:v>21QYHP3, G0QYHP3, 6HHXTN3</x:v>
      </x:c>
      <x:c r="U18" s="19" t="str">
        <x:v>Dell Optiplex 5090 SFF, Ci7/2.5/8GB/1TB/ 18.5/WIN10 Prof/3 Yrs) OptiPlex 5090 SFF XCTO, Intel Core i5-11500(6 Cores /12MB/12T/2.7GHz to 4.6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KB216B,Windows 10 Pro, Dell 19: Monitor E1920H, OptiPlex 5090 Small Form Factor with 200W Up to 85% Efficient power Supply Warranty: 3 Years Next Business Day Onsite Service by DELL Sr. No 21QYHP3, G0QYHP3, 6HHXTN3, Monitor Sr. 748PGM3,88JVTK3,708NGM3</x:v>
      </x:c>
    </x:row>
    <x:row r="19" ht="34" customHeight="1">
      <x:c r="A19" s="19" t="str">
        <x:v>BAT0019</x:v>
      </x:c>
      <x:c r="B19" s="19" t="str">
        <x:v>D-07</x:v>
      </x:c>
      <x:c r="C19" s="19" t="str">
        <x:v>Network Laboratory</x:v>
      </x:c>
      <x:c r="D19" s="19" t="str">
        <x:v>001</x:v>
      </x:c>
      <x:c r="E19" s="19" t="str">
        <x:v>Dell</x:v>
      </x:c>
      <x:c r="F19" s="19" t="str">
        <x:v>OptiPlex 980 MT</x:v>
      </x:c>
      <x:c r="G19" s="28" t="n">
        <x:v>40848</x:v>
      </x:c>
      <x:c r="H19" s="19" t="n">
        <x:v>8</x:v>
      </x:c>
      <x:c r="I19" s="19" t="n">
        <x:v>20</x:v>
      </x:c>
      <x:c r="J19" s="26" t="n">
        <x:v>31600</x:v>
      </x:c>
      <x:c r="K19" s="26" t="n">
        <x:v>252800</x:v>
      </x:c>
      <x:c r="L19" s="19" t="str">
        <x:v>Veetrag Computers Private Ltd.</x:v>
      </x:c>
      <x:c r="M19" s="19" t="n">
        <x:v>3</x:v>
      </x:c>
      <x:c r="N19" s="19" t="str">
        <x:v>PARTIALLY_WRITTEN_OFF</x:v>
      </x:c>
      <x:c r="O19" s="19" t="str"/>
      <x:c r="P19" s="19"/>
      <x:c r="Q19" s="19" t="str"/>
      <x:c r="R19" s="19" t="str"/>
      <x:c r="S19" s="19"/>
      <x:c r="T19" s="19" t="str"/>
      <x:c r="U19" s="19" t="str">
        <x:v>Dell Optiplex- 980 MT( Ci5 3.2/2GB/320/DRW/3 Year) Intel&amp;amp;#174; Core ™ (I5-650 3.2 Ghz, 4MB) Integrated Intel 657, Express Chipset Motherboard,2 GB NECC DDR3 1333 MHz SDRAM Memory,Ethernet LAN (10/100/1000),320 7.2 K RPM SATA Hard Drive,DVD RW,Int.Speaker,Optical USB Mouse, Keyboard,DOS Factory Installed,18.5 &amp;amp;quot; Dell wide TFT Monitor, 3 Year onsite Service DELL</x:v>
      </x:c>
    </x:row>
    <x:row r="20" ht="34" customHeight="1">
      <x:c r="A20" s="19" t="str">
        <x:v>BAT0020</x:v>
      </x:c>
      <x:c r="B20" s="19" t="str">
        <x:v>D-07</x:v>
      </x:c>
      <x:c r="C20" s="19" t="str">
        <x:v>Network Laboratory</x:v>
      </x:c>
      <x:c r="D20" s="19" t="str">
        <x:v>014</x:v>
      </x:c>
      <x:c r="E20" s="19" t="str">
        <x:v>Dell</x:v>
      </x:c>
      <x:c r="F20" s="19" t="str">
        <x:v>OptiPlex 3050 M</x:v>
      </x:c>
      <x:c r="G20" s="28" t="n">
        <x:v>43008</x:v>
      </x:c>
      <x:c r="H20" s="19" t="n">
        <x:v>7</x:v>
      </x:c>
      <x:c r="I20" s="19" t="n">
        <x:v>7</x:v>
      </x:c>
      <x:c r="J20" s="26" t="n">
        <x:v>44510</x:v>
      </x:c>
      <x:c r="K20" s="26" t="n">
        <x:v>311570</x:v>
      </x:c>
      <x:c r="L20" s="19" t="str">
        <x:v>Veetrag Computers Private Ltd.</x:v>
      </x:c>
      <x:c r="M20" s="19" t="n">
        <x:v>3</x:v>
      </x:c>
      <x:c r="N20" s="19" t="str">
        <x:v>OK</x:v>
      </x:c>
      <x:c r="O20" s="19" t="str">
        <x:v>Intel Core i7 Processor-770</x:v>
      </x:c>
      <x:c r="P20" s="19"/>
      <x:c r="Q20" s="19" t="str"/>
      <x:c r="R20" s="19" t="str">
        <x:v>Windows 10</x:v>
      </x:c>
      <x:c r="S20" s="19" t="n">
        <x:v>18.5</x:v>
      </x:c>
      <x:c r="T20" s="19" t="str"/>
      <x:c r="U20" s="19" t="str">
        <x:v>Dell Optiplex3050M, Intel Core i7 Processor-770 (Quad Core, 8MB,8T 3.6 GHz, 65W); Spports Windows 10 / Linux 4 GB(1X4GB)2400Mhz DDR4 Memory, 1 TB 7.2K RPM SATA 6gbps Entry 3.5 inch SATAcabled Hard Drive, Integrated Intel HD Graphics, Dell OptiPlex VGA Video Port, Mini Tower, No PCI Add-in Card,No Wireless Card, Dell Optical Mouse MS116 Black, Dell Multimedia Keyboard KB216 Black Keyboard US International- (QWERTY) " Windows 10 Home(64bit) Single language English, Mini Tower Chasis +Standard 240 W SMPS,18.5" Dell 1916 HV Monitor. Warranty: 3 Year Next Bussiness Day Onsite Service By Del Dell</x:v>
      </x:c>
    </x:row>
    <x:row r="21" ht="34" customHeight="1">
      <x:c r="A21" s="19" t="str">
        <x:v>BAT0021</x:v>
      </x:c>
      <x:c r="B21" s="19" t="str">
        <x:v>D-07</x:v>
      </x:c>
      <x:c r="C21" s="19" t="str">
        <x:v>Network Laboratory</x:v>
      </x:c>
      <x:c r="D21" s="19" t="str">
        <x:v>016</x:v>
      </x:c>
      <x:c r="E21" s="19" t="str">
        <x:v>Dell</x:v>
      </x:c>
      <x:c r="F21" s="19" t="str">
        <x:v>OptiPlex 3050 MT</x:v>
      </x:c>
      <x:c r="G21" s="28" t="n">
        <x:v>43542</x:v>
      </x:c>
      <x:c r="H21" s="19" t="n">
        <x:v>3</x:v>
      </x:c>
      <x:c r="I21" s="19" t="n">
        <x:v>3</x:v>
      </x:c>
      <x:c r="J21" s="26" t="n">
        <x:v>38300</x:v>
      </x:c>
      <x:c r="K21" s="26" t="n">
        <x:v>114900</x:v>
      </x:c>
      <x:c r="L21" s="19" t="str">
        <x:v>Veetrag Computers Private Ltd.</x:v>
      </x:c>
      <x:c r="M21" s="19" t="n">
        <x:v>3</x:v>
      </x:c>
      <x:c r="N21" s="19" t="str">
        <x:v>ACTIVE/RECORDED</x:v>
      </x:c>
      <x:c r="O21" s="19" t="str">
        <x:v>Intel Core i5 Processor-7500</x:v>
      </x:c>
      <x:c r="P21" s="19"/>
      <x:c r="Q21" s="19" t="str"/>
      <x:c r="R21" s="19" t="str">
        <x:v>Ubuntu Linux 16.04</x:v>
      </x:c>
      <x:c r="S21" s="19" t="n">
        <x:v>19</x:v>
      </x:c>
      <x:c r="T21" s="19" t="str">
        <x:v>9P0LZL2, 9P1GZL2, 9P01DZL2</x:v>
      </x:c>
      <x:c r="U21" s="19" t="str">
        <x:v>Dell Optiplex3050MT, (Ci5/3.4/4GB/1TB/DRW/18.5/3 Yr) Optiplex 3050 Mini Tower BTX Intel Core i5 Processor-7500 (Quad Core, 6MB,4T 3.4 GHz, 65W); 4 GB(1X4GB) 2400Mhz DDR4 Memory, 1 TB 7.2K RPM SATA 6gbps Entry 3.5 inch SATA cabled Hard Drive, tray load DVD Drive (Reads and Writes to DVD/CD) DVD +/- Bezel Monitor Power Cord (EURO-INDIA), 6A Kit- Power Cord, 5A VGA Port, Integrated Intel Graphics,No PCI Add-in Card,No Wireless Card, Dell Optical Mouse MS116 Black, Dell Multimedia Keyboard KB216 Black Keyboard US International-(QWERTY), Ubuntu Linux 16.04, standard 240 W SMPS,19" Dell E1916 HV Monitor. Warranty: 3 Year Next Bussiness Day Onsite Service By Dell Sr No.9P0LZL2, 9P1GZL2,9P01DZL2 Monitor: 5TLR7D2,3NLR7D2,4SLR7D2 (GST 18% Included) Dell</x:v>
      </x:c>
    </x:row>
    <x:row r="22" ht="34" customHeight="1">
      <x:c r="A22" s="19" t="str">
        <x:v>BAT0022</x:v>
      </x:c>
      <x:c r="B22" s="19" t="str">
        <x:v>D-07</x:v>
      </x:c>
      <x:c r="C22" s="19" t="str">
        <x:v>Network Laboratory</x:v>
      </x:c>
      <x:c r="D22" s="19" t="str">
        <x:v>021</x:v>
      </x:c>
      <x:c r="E22" s="19" t="str">
        <x:v>Dell</x:v>
      </x:c>
      <x:c r="F22" s="19" t="str">
        <x:v>OptiPlex 3080</x:v>
      </x:c>
      <x:c r="G22" s="28" t="n">
        <x:v>44257</x:v>
      </x:c>
      <x:c r="H22" s="19" t="n">
        <x:v>4</x:v>
      </x:c>
      <x:c r="I22" s="19" t="n">
        <x:v>4</x:v>
      </x:c>
      <x:c r="J22" s="26" t="n">
        <x:v>44650</x:v>
      </x:c>
      <x:c r="K22" s="26" t="n">
        <x:v>178600</x:v>
      </x:c>
      <x:c r="L22" s="19" t="str">
        <x:v>Veetrag Computers Private Ltd.</x:v>
      </x:c>
      <x:c r="M22" s="19" t="n">
        <x:v>3</x:v>
      </x:c>
      <x:c r="N22" s="19" t="str">
        <x:v>ACTIVE/RECORDED</x:v>
      </x:c>
      <x:c r="O22" s="19" t="str">
        <x:v>Intel Core i5-10500</x:v>
      </x:c>
      <x:c r="P22" s="19" t="n">
        <x:v>8</x:v>
      </x:c>
      <x:c r="Q22" s="19" t="str"/>
      <x:c r="R22" s="19" t="str"/>
      <x:c r="S22" s="19" t="n">
        <x:v>19.5</x:v>
      </x:c>
      <x:c r="T22" s="19" t="str"/>
      <x:c r="U22" s="19" t="str">
        <x:v>Dell Computers: Optiplex3080: SFF,(Ci5/3.6/8GB/1TB/WIN10Home/19.5/3 Yrs) Intel Core i5 Processor-10500 (12MB,3.6 GHz,Acceleration Use Only Intel Core i5-10500, 8GB(1X8GB) DDR4 Memory, 1 TB 7.2K RPM SATA , Integrated Intel HD Graphics, Dell OptiPlex VGA Video Port, Mini Tower, No PCI Add-in Card,No Wireless Card, Dell Optical Mouse MS116 Black, Dell Multimedia Keyboard KB216 Black Keyboard US International , Mini Tower Chasis +Standard 240 W SMPS,19.5" Dell E2020 H Monitor. DELL</x:v>
      </x:c>
    </x:row>
    <x:row r="23" ht="34" customHeight="1">
      <x:c r="A23" s="19" t="str">
        <x:v>BAT0023</x:v>
      </x:c>
      <x:c r="B23" s="19" t="str">
        <x:v>D-07</x:v>
      </x:c>
      <x:c r="C23" s="19" t="str">
        <x:v>Network Laboratory</x:v>
      </x:c>
      <x:c r="D23" s="19" t="str">
        <x:v>027</x:v>
      </x:c>
      <x:c r="E23" s="19" t="str">
        <x:v>Dell</x:v>
      </x:c>
      <x:c r="F23" s="19" t="str">
        <x:v>OptiPlex 5090 SFF</x:v>
      </x:c>
      <x:c r="G23" s="28" t="n">
        <x:v>44646</x:v>
      </x:c>
      <x:c r="H23" s="19" t="n">
        <x:v>8</x:v>
      </x:c>
      <x:c r="I23" s="19" t="n">
        <x:v>8</x:v>
      </x:c>
      <x:c r="J23" s="26" t="n">
        <x:v>75900</x:v>
      </x:c>
      <x:c r="K23" s="26" t="n">
        <x:v>607200</x:v>
      </x:c>
      <x:c r="L23" s="19" t="str">
        <x:v>Veetrag Computers Private Ltd.</x:v>
      </x:c>
      <x:c r="M23" s="19" t="n">
        <x:v>3</x:v>
      </x:c>
      <x:c r="N23" s="19" t="str">
        <x:v>ACTIVE/RECORDED</x:v>
      </x:c>
      <x:c r="O23" s="19" t="str">
        <x:v>Intel Core i7-11700</x:v>
      </x:c>
      <x:c r="P23" s="19" t="n">
        <x:v>8</x:v>
      </x:c>
      <x:c r="Q23" s="19" t="str"/>
      <x:c r="R23" s="19" t="str">
        <x:v>Windows 10</x:v>
      </x:c>
      <x:c r="S23" s="19" t="n">
        <x:v>19</x:v>
      </x:c>
      <x:c r="T23" s="19" t="str">
        <x:v>30QYP3, 10QYHP3, GZPYHP3, 40QYHP, HZPYHP3, 50QYHP3, 20QYHP3</x:v>
      </x:c>
      <x:c r="U23" s="19" t="str">
        <x:v>Dell OptiPlex 5090 SFF, Ci7/2.5/8GB/1TB/ 18.5"/WIN10 Prof/3 Yrs) OptiPlex 5090 SFF XCTO, Intel Core i7-11700(8 Cores/16MB/16T/2.5GHz to 4.9 Ghz/65W) support Windows 10/ Linux, 8GB (1X8G) DDR4 non ECC Memory, Dell optiplex 3.5" 1 TB SATA (7.200 RPM) SATA Hard Drive, Intel integrated graphics, Dell OptiPlex, No Aditional Add in Cards, No PCIe add-in card, Speaker for Tower and SFF Kit-6Amp Power Cord-Custkit,Dell USB Optical Mouse MS116-Black,Dell entry USB Keyboard KB216B,Dell 19: Monitor E1920H, OptiPlex 5090 Small Form Factor with 200W Up to 85% Efficient power Supply Warranty: 3 Years Next Business Day Onsite Service by DELL Sr. No.30QYP3,10QYHP3,GZPYHP3,40QYHP 3,HZPYHP3,50QYHP3,20QYHP3 Monitor Sr. 7-bmgm3,748ngm3,6ywmgm3 DELL</x:v>
      </x:c>
    </x:row>
    <x:row r="24" ht="34" customHeight="1">
      <x:c r="A24" s="19" t="str">
        <x:v>BAT0024</x:v>
      </x:c>
      <x:c r="B24" s="19" t="str">
        <x:v>D-07</x:v>
      </x:c>
      <x:c r="C24" s="19" t="str">
        <x:v>Network Laboratory</x:v>
      </x:c>
      <x:c r="D24" s="19" t="str">
        <x:v>028</x:v>
      </x:c>
      <x:c r="E24" s="19" t="str">
        <x:v>Dell</x:v>
      </x:c>
      <x:c r="F24" s="19" t="str">
        <x:v>OptiPlex 5000 MT</x:v>
      </x:c>
      <x:c r="G24" s="28" t="n">
        <x:v>44893</x:v>
      </x:c>
      <x:c r="H24" s="19" t="n">
        <x:v>5</x:v>
      </x:c>
      <x:c r="I24" s="19" t="n">
        <x:v>5</x:v>
      </x:c>
      <x:c r="J24" s="26" t="n">
        <x:v>91250</x:v>
      </x:c>
      <x:c r="K24" s="26" t="n">
        <x:v>456250</x:v>
      </x:c>
      <x:c r="L24" s="19" t="str">
        <x:v>Veetrag Computers Private Ltd.</x:v>
      </x:c>
      <x:c r="M24" s="19" t="n">
        <x:v>3</x:v>
      </x:c>
      <x:c r="N24" s="19" t="str">
        <x:v>ACTIVE/RECORDED</x:v>
      </x:c>
      <x:c r="O24" s="19" t="str">
        <x:v>Intel Core i7-12700</x:v>
      </x:c>
      <x:c r="P24" s="19" t="n">
        <x:v>8</x:v>
      </x:c>
      <x:c r="Q24" s="19" t="str"/>
      <x:c r="R24" s="19" t="str">
        <x:v>Linux</x:v>
      </x:c>
      <x:c r="S24" s="19" t="n">
        <x:v>20</x:v>
      </x:c>
      <x:c r="T24" s="19" t="str">
        <x:v>D566JT3, B566JT3, H566JT3, F566JT3, 66JT3</x:v>
      </x:c>
      <x:c r="U24" s="19" t="str">
        <x:v>Dell Optiplex 5000 MT, Ci7/2.1/8GB/512TB/ 18.5"/WIN10 Prof/19.5"/3 Yrs) OptiPlex 5000 Tower, Intel Core i7-12700(12 Cores/25MB/20T/2.1GHz to 4.9 Ghz/65W) support Win11/Win11 DG/ Linux) 8GB (1X8G) DDR4 non ECC Memory, M.2 2230 512 GB PCIe NVME Class 35 Solid State Drive (EM) Intel integrated graphics, Int Speaker, Thermal PAD for Tower, 6 Amp Power Cord, No Aditional Add in Cards, No PCIe add-in card, Dell USB Optical Mouse MS116-Black,Dell entry USB Keyboard KB216B,Dell 20: Monitor E2020H, Windows Pro(Included Win 11 Pro License) Warranty: 3 Years Next Business Day Onsite Service by DELL Sr. No.D566JT3,B566JT3,H566JT3,F566JT3,C5 66JT3 Monitor S ( GST 18% Included) DELL</x:v>
      </x:c>
    </x:row>
    <x:row r="25" ht="34" customHeight="1">
      <x:c r="A25" s="19" t="str">
        <x:v>BAT0025</x:v>
      </x:c>
      <x:c r="B25" s="19" t="str">
        <x:v>D-08</x:v>
      </x:c>
      <x:c r="C25" s="19" t="str">
        <x:v>Artificial Intelligence &amp; Machine Learning Laboratory</x:v>
      </x:c>
      <x:c r="D25" s="19" t="str">
        <x:v>002</x:v>
      </x:c>
      <x:c r="E25" s="19" t="str">
        <x:v>Dell</x:v>
      </x:c>
      <x:c r="F25" s="19" t="str">
        <x:v>OptiPlex 390</x:v>
      </x:c>
      <x:c r="G25" s="28" t="n">
        <x:v>41106</x:v>
      </x:c>
      <x:c r="H25" s="19" t="n">
        <x:v>15</x:v>
      </x:c>
      <x:c r="I25" s="19" t="n">
        <x:v>15</x:v>
      </x:c>
      <x:c r="J25" s="26" t="n">
        <x:v>31000</x:v>
      </x:c>
      <x:c r="K25" s="26" t="n">
        <x:v>465000</x:v>
      </x:c>
      <x:c r="L25" s="19" t="str">
        <x:v>Veetrag Computers Private Ltd.</x:v>
      </x:c>
      <x:c r="M25" s="19"/>
      <x:c r="N25" s="19" t="str">
        <x:v>ACTIVE/RECORDED</x:v>
      </x:c>
      <x:c r="O25" s="19" t="str">
        <x:v>Intel Core i5-2400 Processor</x:v>
      </x:c>
      <x:c r="P25" s="19" t="n">
        <x:v>4</x:v>
      </x:c>
      <x:c r="Q25" s="19" t="str">
        <x:v>500 GB HDD</x:v>
      </x:c>
      <x:c r="R25" s="19" t="str"/>
      <x:c r="S25" s="19"/>
      <x:c r="T25" s="19" t="str"/>
      <x:c r="U25" s="19" t="str">
        <x:v>DELL COMPUTERS : Dell Optiplex- 390 (Ci5/3.10/4GB/500/DRW/3Yr) Intel Core i5-2400 Processor (3.10 Ghz) HD Graphics,4 GB DDR3 SD RAM, 500 GB HDD SATA, Dell Optical Mous &amp; Keyboard. Dell Optiplex- 390</x:v>
      </x:c>
    </x:row>
    <x:row r="26" ht="34" customHeight="1">
      <x:c r="A26" s="19" t="str">
        <x:v>BAT0026</x:v>
      </x:c>
      <x:c r="B26" s="19" t="str">
        <x:v>D-08</x:v>
      </x:c>
      <x:c r="C26" s="19" t="str">
        <x:v>Artificial Intelligence &amp; Machine Learning Laboratory</x:v>
      </x:c>
      <x:c r="D26" s="19" t="str">
        <x:v>006</x:v>
      </x:c>
      <x:c r="E26" s="19" t="str">
        <x:v>Dell</x:v>
      </x:c>
      <x:c r="F26" s="19" t="str">
        <x:v>OptiPlex 3010</x:v>
      </x:c>
      <x:c r="G26" s="28" t="n">
        <x:v>41540</x:v>
      </x:c>
      <x:c r="H26" s="19" t="n">
        <x:v>5</x:v>
      </x:c>
      <x:c r="I26" s="19" t="n">
        <x:v>5</x:v>
      </x:c>
      <x:c r="J26" s="26" t="n">
        <x:v>33600</x:v>
      </x:c>
      <x:c r="K26" s="26" t="n">
        <x:v>168000</x:v>
      </x:c>
      <x:c r="L26" s="19" t="str">
        <x:v>Veetrag Computers Private Ltd.</x:v>
      </x:c>
      <x:c r="M26" s="19" t="n">
        <x:v>3</x:v>
      </x:c>
      <x:c r="N26" s="19" t="str">
        <x:v>ACTIVE/RECORDED</x:v>
      </x:c>
      <x:c r="O26" s="19" t="str"/>
      <x:c r="P26" s="19" t="n">
        <x:v>4</x:v>
      </x:c>
      <x:c r="Q26" s="19" t="str"/>
      <x:c r="R26" s="19" t="str"/>
      <x:c r="S26" s="19" t="n">
        <x:v>18.5</x:v>
      </x:c>
      <x:c r="T26" s="19" t="str"/>
      <x:c r="U26" s="19" t="str">
        <x:v>Dell Optiplex- 3010 (Ci5/3.20/4GB/500/DRW/3Yr) 3rd Generation 500 GB 7200 rpm Sata Hard Disk, 4 GB DDR3 RAM, DVD+/- RW, Chipset Motherboard, USB KB, Mouse, wide LED 18.5" Monitor, 3 Year Warranty. Dell Optiplex- 3010</x:v>
      </x:c>
    </x:row>
    <x:row r="27" ht="34" customHeight="1">
      <x:c r="A27" s="19" t="str">
        <x:v>BAT0027</x:v>
      </x:c>
      <x:c r="B27" s="19" t="str">
        <x:v>D-08</x:v>
      </x:c>
      <x:c r="C27" s="19" t="str">
        <x:v>Artificial Intelligence &amp; Machine Learning Laboratory</x:v>
      </x:c>
      <x:c r="D27" s="19" t="str">
        <x:v>018</x:v>
      </x:c>
      <x:c r="E27" s="19" t="str">
        <x:v>Dell</x:v>
      </x:c>
      <x:c r="F27" s="19" t="str">
        <x:v>OptiPlex 3060 MT</x:v>
      </x:c>
      <x:c r="G27" s="28" t="n">
        <x:v>43370</x:v>
      </x:c>
      <x:c r="H27" s="19" t="n">
        <x:v>4</x:v>
      </x:c>
      <x:c r="I27" s="19" t="n">
        <x:v>4</x:v>
      </x:c>
      <x:c r="J27" s="26" t="n">
        <x:v>47500</x:v>
      </x:c>
      <x:c r="K27" s="26" t="n">
        <x:v>190000</x:v>
      </x:c>
      <x:c r="L27" s="19" t="str">
        <x:v>Veetrag Computers Private Ltd.</x:v>
      </x:c>
      <x:c r="M27" s="19" t="n">
        <x:v>3</x:v>
      </x:c>
      <x:c r="N27" s="19" t="str">
        <x:v>OK</x:v>
      </x:c>
      <x:c r="O27" s="19" t="str">
        <x:v>Intel Core i7 Processor-8700</x:v>
      </x:c>
      <x:c r="P27" s="19"/>
      <x:c r="Q27" s="19" t="str"/>
      <x:c r="R27" s="19" t="str">
        <x:v>Windows 10</x:v>
      </x:c>
      <x:c r="S27" s="19" t="n">
        <x:v>19</x:v>
      </x:c>
      <x:c r="T27" s="19" t="str">
        <x:v>50W89R2, 515C9R2, 50XB9R2, 513J9R2</x:v>
      </x:c>
      <x:c r="U27" s="19" t="str">
        <x:v>Computers: Dell Optiflex 3060 MT (Ci7/4.6/4 GB/1 TB/18.5"/3 Year Intel Core i7 Processor-8700 (6 Core/12MB/12T/up to 4.6 GHz, 65W); Support Windows 10 / Linux 4 GB(1X4GB)2600Mhz DDR4 UDIMM nOn -ECC 3.5 inch 1 TB 7200 RPM SATA Hard Disk Drive Intel Integrated Graphics,Dell Optical Mouse MS116 Black, Dell Multimedia Keyboard KB216 Black Keyboard US International,optiplex3060Tower with 260W up to, 19" Dell 1916 HE Monitor,Ubuntu Linux 16.04, Warranty: 3 Year Next Business Day Onsite Service By Dell Sr. No.50W89R2,515C9R2,50XB9R2,513J9R2 DELL</x:v>
      </x:c>
    </x:row>
    <x:row r="28" ht="34" customHeight="1">
      <x:c r="A28" s="19" t="str">
        <x:v>BAT0028</x:v>
      </x:c>
      <x:c r="B28" s="19" t="str">
        <x:v>D-08</x:v>
      </x:c>
      <x:c r="C28" s="19" t="str">
        <x:v>Artificial Intelligence &amp; Machine Learning Laboratory</x:v>
      </x:c>
      <x:c r="D28" s="19" t="str">
        <x:v>022</x:v>
      </x:c>
      <x:c r="E28" s="19" t="str">
        <x:v>Dell</x:v>
      </x:c>
      <x:c r="F28" s="19" t="str">
        <x:v>OptiPlex 7000 SFF</x:v>
      </x:c>
      <x:c r="G28" s="28" t="n">
        <x:v>45157</x:v>
      </x:c>
      <x:c r="H28" s="19" t="n">
        <x:v>4</x:v>
      </x:c>
      <x:c r="I28" s="19" t="n">
        <x:v>4</x:v>
      </x:c>
      <x:c r="J28" s="26" t="n">
        <x:v>91250</x:v>
      </x:c>
      <x:c r="K28" s="26" t="n">
        <x:v>365000</x:v>
      </x:c>
      <x:c r="L28" s="19" t="str">
        <x:v>Veetrag Computers Private Ltd.</x:v>
      </x:c>
      <x:c r="M28" s="19" t="n">
        <x:v>3</x:v>
      </x:c>
      <x:c r="N28" s="19" t="str">
        <x:v>ACTIVE/RECORDED</x:v>
      </x:c>
      <x:c r="O28" s="19" t="str"/>
      <x:c r="P28" s="19" t="n">
        <x:v>8</x:v>
      </x:c>
      <x:c r="Q28" s="19" t="str"/>
      <x:c r="R28" s="19" t="str">
        <x:v>Windows 11</x:v>
      </x:c>
      <x:c r="S28" s="19" t="n">
        <x:v>19.5</x:v>
      </x:c>
      <x:c r="T28" s="19" t="str"/>
      <x:c r="U28" s="19" t="str">
        <x:v>OPTIPLEX 7000 SSF Desktop (Small Form Factor)( C i7/2.1/8 GB/512 GB/win 11 Pro, 3 Yrs) 12th Generation Intel® Core™ i7-12700 vPro®, 25MB cache, 12 cores, 20 threads, 2.10GHz to 4.90GHz, 65W) Support Win 11 DG/Linux) 8 GB (1X8 GB) DDR4 Non ECC Memory, M.2 2230 512 GB PCle, NVME Class 35 Solid State Drive(EM) USB Keyboard, Mouse, Windows 11 Pro, 19.5" Dell Wide LED Monitor, E2020H DELL</x:v>
      </x:c>
    </x:row>
    <x:row r="29" ht="34" customHeight="1">
      <x:c r="A29" s="19" t="str">
        <x:v>BAT0029</x:v>
      </x:c>
      <x:c r="B29" s="19" t="str">
        <x:v>D-09</x:v>
      </x:c>
      <x:c r="C29" s="19" t="str">
        <x:v>Apple Education Center Laboratory</x:v>
      </x:c>
      <x:c r="D29" s="19" t="str">
        <x:v>001</x:v>
      </x:c>
      <x:c r="E29" s="19" t="str">
        <x:v>Dell</x:v>
      </x:c>
      <x:c r="F29" s="19" t="str">
        <x:v>OptiPlex 3020 M</x:v>
      </x:c>
      <x:c r="G29" s="28" t="n">
        <x:v>42286</x:v>
      </x:c>
      <x:c r="H29" s="19" t="n">
        <x:v>25</x:v>
      </x:c>
      <x:c r="I29" s="19" t="n">
        <x:v>25</x:v>
      </x:c>
      <x:c r="J29" s="26" t="n">
        <x:v>38500</x:v>
      </x:c>
      <x:c r="K29" s="26" t="n">
        <x:v>962500</x:v>
      </x:c>
      <x:c r="L29" s="19" t="str">
        <x:v>Not recorded</x:v>
      </x:c>
      <x:c r="M29" s="19" t="n">
        <x:v>3</x:v>
      </x:c>
      <x:c r="N29" s="19" t="str">
        <x:v>ACTIVE/RECORDED</x:v>
      </x:c>
      <x:c r="O29" s="19" t="str"/>
      <x:c r="P29" s="19"/>
      <x:c r="Q29" s="19" t="str">
        <x:v>500 GB HDD</x:v>
      </x:c>
      <x:c r="R29" s="19" t="str">
        <x:v>Linux</x:v>
      </x:c>
      <x:c r="S29" s="19"/>
      <x:c r="T29" s="19" t="str"/>
      <x:c r="U29" s="19" t="str">
        <x:v>Dell Computers: Dell Optiplex 3020 Mini Tower, Intel Core I 5-4590 Processor Quad Core with Mini tower, HD Graphics, 4 GB 1 DiMM Non EDD, 500 GB HDD, DELL wide LED Monitor 18.5", Dell Optical Mouse &amp; USB KeyBoard Ubuntu Linux 12.04 3 Year Onsite Service (VAT @ 5 % included) DELL</x:v>
      </x:c>
    </x:row>
    <x:row r="30" ht="34" customHeight="1">
      <x:c r="A30" s="19" t="str">
        <x:v>BAT0030</x:v>
      </x:c>
      <x:c r="B30" s="19" t="str">
        <x:v>D-09</x:v>
      </x:c>
      <x:c r="C30" s="19" t="str">
        <x:v>Apple Education Center Laboratory</x:v>
      </x:c>
      <x:c r="D30" s="19" t="str">
        <x:v>016</x:v>
      </x:c>
      <x:c r="E30" s="19" t="str">
        <x:v>Dell</x:v>
      </x:c>
      <x:c r="F30" s="19" t="str">
        <x:v>OptiPlex 7020 SFF</x:v>
      </x:c>
      <x:c r="G30" s="28" t="n">
        <x:v>45742</x:v>
      </x:c>
      <x:c r="H30" s="19" t="n">
        <x:v>35</x:v>
      </x:c>
      <x:c r="I30" s="19" t="n">
        <x:v>35</x:v>
      </x:c>
      <x:c r="J30" s="26" t="n">
        <x:v>98063</x:v>
      </x:c>
      <x:c r="K30" s="26" t="n">
        <x:v>3432205</x:v>
      </x:c>
      <x:c r="L30" s="19" t="str">
        <x:v>Veetrag Computers Private Ltd.</x:v>
      </x:c>
      <x:c r="M30" s="19" t="n">
        <x:v>3</x:v>
      </x:c>
      <x:c r="N30" s="19" t="str">
        <x:v>ACTIVE/RECORDED</x:v>
      </x:c>
      <x:c r="O30" s="19" t="str">
        <x:v>Intel Core i7 processor 14700</x:v>
      </x:c>
      <x:c r="P30" s="19"/>
      <x:c r="Q30" s="19" t="str">
        <x:v>512 GB SSD</x:v>
      </x:c>
      <x:c r="R30" s="19" t="str">
        <x:v>Windows 11</x:v>
      </x:c>
      <x:c r="S30" s="19"/>
      <x:c r="T30" s="19" t="str"/>
      <x:c r="U30" s="19" t="str">
        <x:v>Computers: DELL OptiPlex 7020 SFF (Ci7/5.4/16GB/512GB SSD/WIN 11 Proff/21.5"/3Yrs) OptiPlex Tower Plus 7020 ХСТО Intel Core i7 processor 14700 vPro (33 MB cache, 20 cores, 28 threads, up to 5.4 GHz Turbo, 65W) 16 GB: 1 x 16 GB, DDR5 M.2 2280 512GB PCIe NVMe SSD Class 40 Intel Integrated Graphics System Power Cord India 6A Dell Multimedia Wired Keyboard-KB216 Black - US International Dell USB Optical Mouse-MS116 (EPEAT) - Black Dell 22 Monitor - E2225H, OptiPlex Tower Plus with 500W Platinum Power Supply Network Adapters (NIC) Windows 11 Pro, English, Warranty: 3 Years Next Business Day Onsite Service by DELL DELL</x:v>
      </x:c>
    </x:row>
    <x:row r="31" ht="34" customHeight="1">
      <x:c r="A31" s="19" t="str">
        <x:v>BAT0031</x:v>
      </x:c>
      <x:c r="B31" s="19" t="str">
        <x:v>D-10</x:v>
      </x:c>
      <x:c r="C31" s="19" t="str">
        <x:v>PG laboratory-1</x:v>
      </x:c>
      <x:c r="D31" s="19" t="str">
        <x:v>004</x:v>
      </x:c>
      <x:c r="E31" s="19" t="str">
        <x:v>Lenovo</x:v>
      </x:c>
      <x:c r="F31" s="19" t="str">
        <x:v>ThinkCentre M920</x:v>
      </x:c>
      <x:c r="G31" s="28" t="n">
        <x:v>43984</x:v>
      </x:c>
      <x:c r="H31" s="19" t="n">
        <x:v>20</x:v>
      </x:c>
      <x:c r="I31" s="19" t="n">
        <x:v>20</x:v>
      </x:c>
      <x:c r="J31" s="26" t="n">
        <x:v>53000</x:v>
      </x:c>
      <x:c r="K31" s="26" t="n">
        <x:v>1060000</x:v>
      </x:c>
      <x:c r="L31" s="19" t="str">
        <x:v>Veetrag Computers Private Ltd.</x:v>
      </x:c>
      <x:c r="M31" s="19" t="n">
        <x:v>3</x:v>
      </x:c>
      <x:c r="N31" s="19" t="str">
        <x:v>TRANSFERRED_IN</x:v>
      </x:c>
      <x:c r="O31" s="19" t="str">
        <x:v>Intel Core i7-9700</x:v>
      </x:c>
      <x:c r="P31" s="19" t="n">
        <x:v>4</x:v>
      </x:c>
      <x:c r="Q31" s="19" t="str">
        <x:v>1 TB HDD</x:v>
      </x:c>
      <x:c r="R31" s="19" t="str">
        <x:v>Windows 10</x:v>
      </x:c>
      <x:c r="S31" s="19"/>
      <x:c r="T31" s="19" t="str"/>
      <x:c r="U31" s="19" t="str">
        <x:v>Computers: Lenovo Think Center M920(Ci7/3.0/4GB/1TB/WIN10Home/3Yrs) Processor Intel Core i7-9700, RAM 4 GB DDR4-2666, 1 TB HDD 7200 rpm, Lenovo Calliope Keyboard (USB Connector), Black Lenovo Mouse, Windows 10 Home 64 Bit, Warranty 3 Years by LED Monitor: 19.5" Lenovo wide Led Monitor E2054A ( GST 18 % Included) Lenovo Think Center M920</x:v>
      </x:c>
    </x:row>
    <x:row r="32" ht="34" customHeight="1">
      <x:c r="A32" s="19" t="str">
        <x:v>BAT0032</x:v>
      </x:c>
      <x:c r="B32" s="19" t="str">
        <x:v>D-11</x:v>
      </x:c>
      <x:c r="C32" s="19" t="str">
        <x:v>PG laboratory-2</x:v>
      </x:c>
      <x:c r="D32" s="19" t="str">
        <x:v>001</x:v>
      </x:c>
      <x:c r="E32" s="19" t="str">
        <x:v>Apple</x:v>
      </x:c>
      <x:c r="F32" s="19" t="str">
        <x:v>Mac All-in-One Desktop 21.5"</x:v>
      </x:c>
      <x:c r="G32" s="28" t="n">
        <x:v>44281</x:v>
      </x:c>
      <x:c r="H32" s="19" t="n">
        <x:v>22</x:v>
      </x:c>
      <x:c r="I32" s="19" t="n">
        <x:v>22</x:v>
      </x:c>
      <x:c r="J32" s="26" t="n">
        <x:v>85000</x:v>
      </x:c>
      <x:c r="K32" s="26" t="n">
        <x:v>1870000</x:v>
      </x:c>
      <x:c r="L32" s="19" t="str">
        <x:v>Aegis Infotech Private Limited</x:v>
      </x:c>
      <x:c r="M32" s="19" t="n">
        <x:v>1</x:v>
      </x:c>
      <x:c r="N32" s="19" t="str">
        <x:v>ACTIVE/RECORDED</x:v>
      </x:c>
      <x:c r="O32" s="19" t="str"/>
      <x:c r="P32" s="19" t="n">
        <x:v>8</x:v>
      </x:c>
      <x:c r="Q32" s="19" t="str">
        <x:v>256 GB SSD</x:v>
      </x:c>
      <x:c r="R32" s="19" t="str"/>
      <x:c r="S32" s="19"/>
      <x:c r="T32" s="19" t="str"/>
      <x:c r="U32" s="19" t="str">
        <x:v>MAC All in One Desktop: 21.5 INCH 2.3 Ghz Dual Core 7th Generation Intel Core i5 Processor,8 GB RAM,256 GB SSD with Magic UPON Installation Activate 200 GB Cloud Space In Each Device Warranty-1 Year Apple</x:v>
      </x:c>
    </x:row>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U1"/>
  </x:mergeCells>
  <x:pageMargins left="0.7" right="0.7" top="0.75" bottom="0.75" header="0.3" footer="0.3"/>
  <x:tableParts count="1">
    <x:tablePart xmlns:r="http://schemas.openxmlformats.org/officeDocument/2006/relationships" r:id="R0ae2c0c41fae419e"/>
  </x:tableParts>
</x:worksheet>
</file>

<file path=xl/worksheets/sheet12.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3" hidden="0" customWidth="1"/>
    <x:col min="5" max="5" width="14" hidden="0" customWidth="1"/>
    <x:col min="6" max="6" width="22" hidden="0" customWidth="1"/>
    <x:col min="7" max="7" width="13" hidden="0" customWidth="1"/>
    <x:col min="8" max="8" width="14"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36" hidden="0" customWidth="1"/>
    <x:col min="21" max="21" width="55" hidden="0" customWidth="1"/>
  </x:cols>
  <x:sheetData>
    <x:row r="1">
      <x:c r="A1" s="5" t="str">
        <x:v>Laptop — categorized attributes by purchase batch</x:v>
      </x:c>
    </x:row>
    <x:row r="2">
      <x:c r="A2" s="24" t="str">
        <x:v>Rows: 6</x:v>
      </x:c>
    </x:row>
    <x:row r="4" ht="34" customHeight="1">
      <x:c r="A4" s="18" t="str">
        <x:v>batch_id</x:v>
      </x:c>
      <x:c r="B4" s="18" t="str">
        <x:v>lab_code</x:v>
      </x:c>
      <x:c r="C4" s="18" t="str">
        <x:v>lab_name</x:v>
      </x:c>
      <x:c r="D4" s="18" t="str">
        <x:v>dead_stock_sr_no</x:v>
      </x:c>
      <x:c r="E4" s="18" t="str">
        <x:v>brand</x:v>
      </x:c>
      <x:c r="F4" s="18" t="str">
        <x:v>model_name</x:v>
      </x:c>
      <x:c r="G4" s="18" t="str">
        <x:v>purchase_date</x:v>
      </x:c>
      <x:c r="H4" s="18" t="str">
        <x:v>quantity_current</x:v>
      </x:c>
      <x:c r="I4" s="18" t="str">
        <x:v>quantity_original</x:v>
      </x:c>
      <x:c r="J4" s="18" t="str">
        <x:v>unit_rate</x:v>
      </x:c>
      <x:c r="K4" s="18" t="str">
        <x:v>total_cost</x:v>
      </x:c>
      <x:c r="L4" s="18" t="str">
        <x:v>supplier_name</x:v>
      </x:c>
      <x:c r="M4" s="18" t="str">
        <x:v>warranty_years</x:v>
      </x:c>
      <x:c r="N4" s="18" t="str">
        <x:v>status</x:v>
      </x:c>
      <x:c r="O4" s="18" t="str">
        <x:v>processor</x:v>
      </x:c>
      <x:c r="P4" s="18" t="str">
        <x:v>ram_gb</x:v>
      </x:c>
      <x:c r="Q4" s="18" t="str">
        <x:v>storage</x:v>
      </x:c>
      <x:c r="R4" s="18" t="str">
        <x:v>operating_system</x:v>
      </x:c>
      <x:c r="S4" s="18" t="str">
        <x:v>monitor_size_in</x:v>
      </x:c>
      <x:c r="T4" s="18" t="str">
        <x:v>serial_numbers_raw</x:v>
      </x:c>
      <x:c r="U4" s="18" t="str">
        <x:v>raw_description</x:v>
      </x:c>
    </x:row>
    <x:row r="5" ht="34" customHeight="1">
      <x:c r="A5" s="19" t="str">
        <x:v>BAT0035</x:v>
      </x:c>
      <x:c r="B5" s="19" t="str">
        <x:v>D-01</x:v>
      </x:c>
      <x:c r="C5" s="19" t="str">
        <x:v>Linux Laboratory</x:v>
      </x:c>
      <x:c r="D5" s="19" t="str">
        <x:v>035</x:v>
      </x:c>
      <x:c r="E5" s="19" t="str">
        <x:v>Dell</x:v>
      </x:c>
      <x:c r="F5" s="19" t="str">
        <x:v>Vostro</x:v>
      </x:c>
      <x:c r="G5" s="28"/>
      <x:c r="H5" s="19" t="n">
        <x:v>1</x:v>
      </x:c>
      <x:c r="I5" s="19" t="n">
        <x:v>1</x:v>
      </x:c>
      <x:c r="J5" s="26"/>
      <x:c r="K5" s="26"/>
      <x:c r="L5" s="19" t="str">
        <x:v>Veetrag Computers Private Ltd.</x:v>
      </x:c>
      <x:c r="M5" s="19"/>
      <x:c r="N5" s="19" t="str">
        <x:v>ACTIVE/RECORDED</x:v>
      </x:c>
      <x:c r="O5" s="19" t="str"/>
      <x:c r="P5" s="19"/>
      <x:c r="Q5" s="19" t="str"/>
      <x:c r="R5" s="19" t="str"/>
      <x:c r="S5" s="19"/>
      <x:c r="T5" s="19" t="str"/>
      <x:c r="U5" s="19" t="str">
        <x:v>LAPTOP: DELL VOSTRO Dell</x:v>
      </x:c>
    </x:row>
    <x:row r="6" ht="34" customHeight="1">
      <x:c r="A6" s="19" t="str">
        <x:v>BAT0036</x:v>
      </x:c>
      <x:c r="B6" s="19" t="str">
        <x:v>D-02</x:v>
      </x:c>
      <x:c r="C6" s="19" t="str">
        <x:v>Database Laboratory</x:v>
      </x:c>
      <x:c r="D6" s="19" t="str">
        <x:v>022</x:v>
      </x:c>
      <x:c r="E6" s="19" t="str">
        <x:v>Dell</x:v>
      </x:c>
      <x:c r="F6" s="19" t="str">
        <x:v>Vostro 3400</x:v>
      </x:c>
      <x:c r="G6" s="28" t="n">
        <x:v>40423</x:v>
      </x:c>
      <x:c r="H6" s="19" t="n">
        <x:v>1</x:v>
      </x:c>
      <x:c r="I6" s="19" t="n">
        <x:v>1</x:v>
      </x:c>
      <x:c r="J6" s="26" t="n">
        <x:v>36750</x:v>
      </x:c>
      <x:c r="K6" s="26" t="n">
        <x:v>36750</x:v>
      </x:c>
      <x:c r="L6" s="19" t="str">
        <x:v>Veetrag Computers Private Ltd.</x:v>
      </x:c>
      <x:c r="M6" s="19"/>
      <x:c r="N6" s="19" t="str">
        <x:v>ACTIVE/RECORDED</x:v>
      </x:c>
      <x:c r="O6" s="19" t="str">
        <x:v>CORE I3 370</x:v>
      </x:c>
      <x:c r="P6" s="19"/>
      <x:c r="Q6" s="19" t="str"/>
      <x:c r="R6" s="19" t="str"/>
      <x:c r="S6" s="19"/>
      <x:c r="T6" s="19" t="str"/>
      <x:c r="U6" s="19" t="str">
        <x:v>Laptop, Dell Vostro 3400 Laptop, (CI3/2.4/2GB/320/DRW/3 Year), CORE I3 370 (2.4 GHz, Dual Core 4T 3 MB L3 C Dell</x:v>
      </x:c>
    </x:row>
    <x:row r="7" ht="34" customHeight="1">
      <x:c r="A7" s="19" t="str">
        <x:v>BAT0037</x:v>
      </x:c>
      <x:c r="B7" s="19" t="str">
        <x:v>D-04</x:v>
      </x:c>
      <x:c r="C7" s="19" t="str">
        <x:v>Application Development Tool Laboratory</x:v>
      </x:c>
      <x:c r="D7" s="19" t="str">
        <x:v>023</x:v>
      </x:c>
      <x:c r="E7" s="19" t="str">
        <x:v>Dell</x:v>
      </x:c>
      <x:c r="F7" s="19" t="str">
        <x:v>Vostro</x:v>
      </x:c>
      <x:c r="G7" s="28"/>
      <x:c r="H7" s="19" t="n">
        <x:v>1</x:v>
      </x:c>
      <x:c r="I7" s="19" t="n">
        <x:v>1</x:v>
      </x:c>
      <x:c r="J7" s="26"/>
      <x:c r="K7" s="26"/>
      <x:c r="L7" s="19" t="str">
        <x:v>Not recorded</x:v>
      </x:c>
      <x:c r="M7" s="19"/>
      <x:c r="N7" s="19" t="str">
        <x:v>ACTIVE/RECORDED</x:v>
      </x:c>
      <x:c r="O7" s="19" t="str"/>
      <x:c r="P7" s="19"/>
      <x:c r="Q7" s="19" t="str"/>
      <x:c r="R7" s="19" t="str"/>
      <x:c r="S7" s="19"/>
      <x:c r="T7" s="19" t="str"/>
      <x:c r="U7" s="19" t="str">
        <x:v>Laptop: DELL Vostro Dell</x:v>
      </x:c>
    </x:row>
    <x:row r="8" ht="34" customHeight="1">
      <x:c r="A8" s="19" t="str">
        <x:v>BAT0038</x:v>
      </x:c>
      <x:c r="B8" s="19" t="str">
        <x:v>D-05</x:v>
      </x:c>
      <x:c r="C8" s="19" t="str">
        <x:v>Operating System Laboratory</x:v>
      </x:c>
      <x:c r="D8" s="19" t="str">
        <x:v>017</x:v>
      </x:c>
      <x:c r="E8" s="19" t="str">
        <x:v>Toshiba</x:v>
      </x:c>
      <x:c r="F8" s="19" t="str">
        <x:v>Portage</x:v>
      </x:c>
      <x:c r="G8" s="28" t="n">
        <x:v>40226</x:v>
      </x:c>
      <x:c r="H8" s="19" t="n">
        <x:v>1</x:v>
      </x:c>
      <x:c r="I8" s="19" t="n">
        <x:v>1</x:v>
      </x:c>
      <x:c r="J8" s="26"/>
      <x:c r="K8" s="26"/>
      <x:c r="L8" s="19" t="str">
        <x:v>Not recorded</x:v>
      </x:c>
      <x:c r="M8" s="19"/>
      <x:c r="N8" s="19" t="str">
        <x:v>ACTIVE/RECORDED</x:v>
      </x:c>
      <x:c r="O8" s="19" t="str"/>
      <x:c r="P8" s="19"/>
      <x:c r="Q8" s="19" t="str"/>
      <x:c r="R8" s="19" t="str"/>
      <x:c r="S8" s="19"/>
      <x:c r="T8" s="19" t="str">
        <x:v>76141829, TOSHIBA, PORTAGE</x:v>
      </x:c>
      <x:c r="U8" s="19" t="str">
        <x:v>Laptop: Infosys campus connect laptop Sr. no. 76141829 Toshiba Portage (free of cost) Toshiba</x:v>
      </x:c>
    </x:row>
    <x:row r="9" ht="34" customHeight="1">
      <x:c r="A9" s="19" t="str">
        <x:v>BAT0039</x:v>
      </x:c>
      <x:c r="B9" s="19" t="str">
        <x:v>D-08</x:v>
      </x:c>
      <x:c r="C9" s="19" t="str">
        <x:v>Artificial Intelligence &amp; Machine Learning Laboratory</x:v>
      </x:c>
      <x:c r="D9" s="19" t="str">
        <x:v>011</x:v>
      </x:c>
      <x:c r="E9" s="19" t="str">
        <x:v>HP</x:v>
      </x:c>
      <x:c r="F9" s="19" t="str">
        <x:v>Envy 15 K 203 TX</x:v>
      </x:c>
      <x:c r="G9" s="28" t="n">
        <x:v>42082</x:v>
      </x:c>
      <x:c r="H9" s="19" t="n">
        <x:v>1</x:v>
      </x:c>
      <x:c r="I9" s="19" t="n">
        <x:v>1</x:v>
      </x:c>
      <x:c r="J9" s="26" t="n">
        <x:v>76650</x:v>
      </x:c>
      <x:c r="K9" s="26" t="n">
        <x:v>76650</x:v>
      </x:c>
      <x:c r="L9" s="19" t="str">
        <x:v>InfoSystem</x:v>
      </x:c>
      <x:c r="M9" s="19"/>
      <x:c r="N9" s="19" t="str">
        <x:v>ACTIVE/RECORDED</x:v>
      </x:c>
      <x:c r="O9" s="19" t="str"/>
      <x:c r="P9" s="19"/>
      <x:c r="Q9" s="19" t="str"/>
      <x:c r="R9" s="19" t="str"/>
      <x:c r="S9" s="19"/>
      <x:c r="T9" s="19" t="str">
        <x:v>5CD4485C75</x:v>
      </x:c>
      <x:c r="U9" s="19" t="str">
        <x:v>Laptop HP Envy 15 K 203 TX Sr. No. 5CD4485C75 with Bag Pack ( Include Output VAT @ 5 %) HP Envy</x:v>
      </x:c>
    </x:row>
    <x:row r="10" ht="34" customHeight="1">
      <x:c r="A10" s="19" t="str">
        <x:v>BAT0040</x:v>
      </x:c>
      <x:c r="B10" s="19" t="str">
        <x:v>D-08</x:v>
      </x:c>
      <x:c r="C10" s="19" t="str">
        <x:v>Artificial Intelligence &amp; Machine Learning Laboratory</x:v>
      </x:c>
      <x:c r="D10" s="19" t="str">
        <x:v>012</x:v>
      </x:c>
      <x:c r="E10" s="19" t="str">
        <x:v>HP</x:v>
      </x:c>
      <x:c r="F10" s="19" t="str">
        <x:v>Envy 15 K 203 TX</x:v>
      </x:c>
      <x:c r="G10" s="28" t="n">
        <x:v>42082</x:v>
      </x:c>
      <x:c r="H10" s="19" t="n">
        <x:v>1</x:v>
      </x:c>
      <x:c r="I10" s="19" t="n">
        <x:v>1</x:v>
      </x:c>
      <x:c r="J10" s="26" t="n">
        <x:v>76650</x:v>
      </x:c>
      <x:c r="K10" s="26" t="n">
        <x:v>76650</x:v>
      </x:c>
      <x:c r="L10" s="19" t="str">
        <x:v>InfoSystem</x:v>
      </x:c>
      <x:c r="M10" s="19"/>
      <x:c r="N10" s="19" t="str">
        <x:v>ACTIVE/RECORDED</x:v>
      </x:c>
      <x:c r="O10" s="19" t="str"/>
      <x:c r="P10" s="19"/>
      <x:c r="Q10" s="19" t="str"/>
      <x:c r="R10" s="19" t="str"/>
      <x:c r="S10" s="19"/>
      <x:c r="T10" s="19" t="str">
        <x:v>5CD4485C76</x:v>
      </x:c>
      <x:c r="U10" s="19" t="str">
        <x:v>Laptop HP Envy 15 K 203 TX Sr. No. 5CD4485C76 with Bag Pack ( Include Output VAT @ 5 %) Laptop HP Envy</x:v>
      </x:c>
    </x:row>
    <x:row r="11" ht="34" customHeight="1"/>
    <x:row r="12" ht="34" customHeight="1"/>
    <x:row r="13" ht="34" customHeight="1"/>
    <x:row r="14" ht="34" customHeight="1"/>
    <x:row r="15" ht="34" customHeight="1"/>
    <x:row r="16" ht="34" customHeight="1"/>
    <x:row r="17" ht="34" customHeight="1"/>
    <x:row r="18" ht="34" customHeight="1"/>
    <x:row r="19" ht="34" customHeight="1"/>
    <x:row r="20" ht="34" customHeight="1"/>
    <x:row r="21" ht="34" customHeight="1"/>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U1"/>
  </x:mergeCells>
  <x:pageMargins left="0.7" right="0.7" top="0.75" bottom="0.75" header="0.3" footer="0.3"/>
  <x:tableParts count="1">
    <x:tablePart xmlns:r="http://schemas.openxmlformats.org/officeDocument/2006/relationships" r:id="R31193d96601947cc"/>
  </x:tableParts>
</x:worksheet>
</file>

<file path=xl/worksheets/sheet13.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3" hidden="0" customWidth="1"/>
    <x:col min="5" max="5" width="14" hidden="0" customWidth="1"/>
    <x:col min="6" max="6" width="22" hidden="0" customWidth="1"/>
    <x:col min="7" max="7" width="13" hidden="0" customWidth="1"/>
    <x:col min="8" max="8" width="14"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36" hidden="0" customWidth="1"/>
    <x:col min="21" max="21" width="55" hidden="0" customWidth="1"/>
  </x:cols>
  <x:sheetData>
    <x:row r="1">
      <x:c r="A1" s="5" t="str">
        <x:v>Printer — categorized attributes by purchase batch</x:v>
      </x:c>
    </x:row>
    <x:row r="2">
      <x:c r="A2" s="24" t="str">
        <x:v>Rows: 11</x:v>
      </x:c>
    </x:row>
    <x:row r="4" ht="34" customHeight="1">
      <x:c r="A4" s="18" t="str">
        <x:v>batch_id</x:v>
      </x:c>
      <x:c r="B4" s="18" t="str">
        <x:v>lab_code</x:v>
      </x:c>
      <x:c r="C4" s="18" t="str">
        <x:v>lab_name</x:v>
      </x:c>
      <x:c r="D4" s="18" t="str">
        <x:v>dead_stock_sr_no</x:v>
      </x:c>
      <x:c r="E4" s="18" t="str">
        <x:v>brand</x:v>
      </x:c>
      <x:c r="F4" s="18" t="str">
        <x:v>model_name</x:v>
      </x:c>
      <x:c r="G4" s="18" t="str">
        <x:v>purchase_date</x:v>
      </x:c>
      <x:c r="H4" s="18" t="str">
        <x:v>quantity_current</x:v>
      </x:c>
      <x:c r="I4" s="18" t="str">
        <x:v>quantity_original</x:v>
      </x:c>
      <x:c r="J4" s="18" t="str">
        <x:v>unit_rate</x:v>
      </x:c>
      <x:c r="K4" s="18" t="str">
        <x:v>total_cost</x:v>
      </x:c>
      <x:c r="L4" s="18" t="str">
        <x:v>supplier_name</x:v>
      </x:c>
      <x:c r="M4" s="18" t="str">
        <x:v>warranty_years</x:v>
      </x:c>
      <x:c r="N4" s="18" t="str">
        <x:v>status</x:v>
      </x:c>
      <x:c r="O4" s="18" t="str">
        <x:v>functions</x:v>
      </x:c>
      <x:c r="P4" s="18" t="str">
        <x:v>print_speed_ppm</x:v>
      </x:c>
      <x:c r="Q4" s="18" t="str">
        <x:v>resolution</x:v>
      </x:c>
      <x:c r="R4" s="18" t="str">
        <x:v>connectivity</x:v>
      </x:c>
      <x:c r="S4" s="18" t="str">
        <x:v>input_tray_sheets</x:v>
      </x:c>
      <x:c r="T4" s="18" t="str">
        <x:v>serial_numbers_raw</x:v>
      </x:c>
      <x:c r="U4" s="18" t="str">
        <x:v>raw_description</x:v>
      </x:c>
    </x:row>
    <x:row r="5" ht="34" customHeight="1">
      <x:c r="A5" s="19" t="str">
        <x:v>BAT0054</x:v>
      </x:c>
      <x:c r="B5" s="19" t="str">
        <x:v>D-02</x:v>
      </x:c>
      <x:c r="C5" s="19" t="str">
        <x:v>Database Laboratory</x:v>
      </x:c>
      <x:c r="D5" s="19" t="str">
        <x:v>021</x:v>
      </x:c>
      <x:c r="E5" s="19" t="str">
        <x:v>HP</x:v>
      </x:c>
      <x:c r="F5" s="19" t="str">
        <x:v>Laserjet MFP 1136</x:v>
      </x:c>
      <x:c r="G5" s="28" t="n">
        <x:v>40423</x:v>
      </x:c>
      <x:c r="H5" s="19" t="n">
        <x:v>1</x:v>
      </x:c>
      <x:c r="I5" s="19" t="n">
        <x:v>1</x:v>
      </x:c>
      <x:c r="J5" s="26" t="n">
        <x:v>10100</x:v>
      </x:c>
      <x:c r="K5" s="26" t="n">
        <x:v>10100</x:v>
      </x:c>
      <x:c r="L5" s="19" t="str">
        <x:v>Veetrag Computers Private Ltd.</x:v>
      </x:c>
      <x:c r="M5" s="19" t="n">
        <x:v>1</x:v>
      </x:c>
      <x:c r="N5" s="19" t="str">
        <x:v>ACTIVE/RECORDED</x:v>
      </x:c>
      <x:c r="O5" s="19" t="str">
        <x:v>Print/Scan/Copy</x:v>
      </x:c>
      <x:c r="P5" s="19" t="n">
        <x:v>15</x:v>
      </x:c>
      <x:c r="Q5" s="19" t="str">
        <x:v>1200 DPI</x:v>
      </x:c>
      <x:c r="R5" s="19" t="str"/>
      <x:c r="S5" s="19" t="n">
        <x:v>150</x:v>
      </x:c>
      <x:c r="T5" s="19" t="str">
        <x:v>9B6XKG5</x:v>
      </x:c>
      <x:c r="U5" s="19" t="str">
        <x:v>HP Laserjet MFP 1136, Print Scan Copy, Upto 15 ppm 1200 DPI Resolution Effective Output, 32 MB RAM, 230 Mhz Processor, 150 sheet paper Tray Input, 1 Year Warranty, Sr. No. CNC 9B6XKG5 HP</x:v>
      </x:c>
    </x:row>
    <x:row r="6" ht="34" customHeight="1">
      <x:c r="A6" s="19" t="str">
        <x:v>BAT0055</x:v>
      </x:c>
      <x:c r="B6" s="19" t="str">
        <x:v>D-03</x:v>
      </x:c>
      <x:c r="C6" s="19" t="str">
        <x:v>Project Laboratory</x:v>
      </x:c>
      <x:c r="D6" s="19" t="str">
        <x:v>019</x:v>
      </x:c>
      <x:c r="E6" s="19" t="str">
        <x:v>HP</x:v>
      </x:c>
      <x:c r="F6" s="19" t="str">
        <x:v>LJ 3020</x:v>
      </x:c>
      <x:c r="G6" s="28" t="n">
        <x:v>38588</x:v>
      </x:c>
      <x:c r="H6" s="19" t="n">
        <x:v>1</x:v>
      </x:c>
      <x:c r="I6" s="19" t="n">
        <x:v>1</x:v>
      </x:c>
      <x:c r="J6" s="26" t="n">
        <x:v>20192</x:v>
      </x:c>
      <x:c r="K6" s="26" t="n">
        <x:v>20192</x:v>
      </x:c>
      <x:c r="L6" s="19" t="str">
        <x:v>Veetrag Computers Private Ltd.</x:v>
      </x:c>
      <x:c r="M6" s="19"/>
      <x:c r="N6" s="19" t="str">
        <x:v>ACTIVE/RECORDED</x:v>
      </x:c>
      <x:c r="O6" s="19" t="str"/>
      <x:c r="P6" s="19"/>
      <x:c r="Q6" s="19" t="str"/>
      <x:c r="R6" s="19" t="str"/>
      <x:c r="S6" s="19"/>
      <x:c r="T6" s="19" t="str">
        <x:v>SGBSX88075</x:v>
      </x:c>
      <x:c r="U6" s="19" t="str">
        <x:v>Printer, HP LJ 3020 (Sr. No. SGBSX88075) HP</x:v>
      </x:c>
    </x:row>
    <x:row r="7" ht="34" customHeight="1">
      <x:c r="A7" s="19" t="str">
        <x:v>BAT0056</x:v>
      </x:c>
      <x:c r="B7" s="19" t="str">
        <x:v>D-03</x:v>
      </x:c>
      <x:c r="C7" s="19" t="str">
        <x:v>Project Laboratory</x:v>
      </x:c>
      <x:c r="D7" s="19" t="str">
        <x:v>053</x:v>
      </x:c>
      <x:c r="E7" s="19" t="str">
        <x:v>Epson</x:v>
      </x:c>
      <x:c r="F7" s="19" t="str">
        <x:v>M200- C11CC83412</x:v>
      </x:c>
      <x:c r="G7" s="28" t="n">
        <x:v>45314</x:v>
      </x:c>
      <x:c r="H7" s="19" t="n">
        <x:v>1</x:v>
      </x:c>
      <x:c r="I7" s="19" t="n">
        <x:v>1</x:v>
      </x:c>
      <x:c r="J7" s="26" t="n">
        <x:v>15547</x:v>
      </x:c>
      <x:c r="K7" s="26" t="n">
        <x:v>15547</x:v>
      </x:c>
      <x:c r="L7" s="19" t="str">
        <x:v>Veetrag Computers Private Ltd.</x:v>
      </x:c>
      <x:c r="M7" s="19" t="n">
        <x:v>1</x:v>
      </x:c>
      <x:c r="N7" s="19" t="str">
        <x:v>ACTIVE/RECORDED</x:v>
      </x:c>
      <x:c r="O7" s="19" t="str">
        <x:v>Print</x:v>
      </x:c>
      <x:c r="P7" s="19" t="n">
        <x:v>34</x:v>
      </x:c>
      <x:c r="Q7" s="19" t="str">
        <x:v>1400X720 DPI</x:v>
      </x:c>
      <x:c r="R7" s="19" t="str">
        <x:v>USB, Ethernet</x:v>
      </x:c>
      <x:c r="S7" s="19"/>
      <x:c r="T7" s="19" t="str">
        <x:v>S2LY338134</x:v>
      </x:c>
      <x:c r="U7"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S2LY338134 ( GST 18 % Included) Epson</x:v>
      </x:c>
    </x:row>
    <x:row r="8" ht="34" customHeight="1">
      <x:c r="A8" s="19" t="str">
        <x:v>BAT0057</x:v>
      </x:c>
      <x:c r="B8" s="19" t="str">
        <x:v>D-04</x:v>
      </x:c>
      <x:c r="C8" s="19" t="str">
        <x:v>Application Development Tool Laboratory</x:v>
      </x:c>
      <x:c r="D8" s="19" t="str">
        <x:v>027</x:v>
      </x:c>
      <x:c r="E8" s="19" t="str">
        <x:v>HP</x:v>
      </x:c>
      <x:c r="F8" s="19" t="str">
        <x:v>MFP 1005</x:v>
      </x:c>
      <x:c r="G8" s="28" t="n">
        <x:v>42286</x:v>
      </x:c>
      <x:c r="H8" s="19" t="n">
        <x:v>1</x:v>
      </x:c>
      <x:c r="I8" s="19" t="n">
        <x:v>1</x:v>
      </x:c>
      <x:c r="J8" s="26" t="n">
        <x:v>12000</x:v>
      </x:c>
      <x:c r="K8" s="26" t="n">
        <x:v>12000</x:v>
      </x:c>
      <x:c r="L8" s="19" t="str">
        <x:v>Veetrag Computers Private Ltd.</x:v>
      </x:c>
      <x:c r="M8" s="19" t="n">
        <x:v>1</x:v>
      </x:c>
      <x:c r="N8" s="19" t="str">
        <x:v>ACTIVE/RECORDED</x:v>
      </x:c>
      <x:c r="O8" s="19" t="str"/>
      <x:c r="P8" s="19"/>
      <x:c r="Q8" s="19" t="str"/>
      <x:c r="R8" s="19" t="str"/>
      <x:c r="S8" s="19"/>
      <x:c r="T8" s="19" t="str"/>
      <x:c r="U8" s="19" t="str">
        <x:v>HP LJ MFP 1005 1 Year Onsite Service by HP (VAT @5% included) HP 1005</x:v>
      </x:c>
    </x:row>
    <x:row r="9" ht="34" customHeight="1">
      <x:c r="A9" s="19" t="str">
        <x:v>BAT0058</x:v>
      </x:c>
      <x:c r="B9" s="19" t="str">
        <x:v>D-05</x:v>
      </x:c>
      <x:c r="C9" s="19" t="str">
        <x:v>Operating System Laboratory</x:v>
      </x:c>
      <x:c r="D9" s="19" t="str">
        <x:v>021</x:v>
      </x:c>
      <x:c r="E9" s="19" t="str">
        <x:v>HP</x:v>
      </x:c>
      <x:c r="F9" s="19" t="str">
        <x:v>Laserjet CP-1025</x:v>
      </x:c>
      <x:c r="G9" s="28" t="n">
        <x:v>40985</x:v>
      </x:c>
      <x:c r="H9" s="19" t="n">
        <x:v>1</x:v>
      </x:c>
      <x:c r="I9" s="19" t="n">
        <x:v>1</x:v>
      </x:c>
      <x:c r="J9" s="26" t="n">
        <x:v>14385</x:v>
      </x:c>
      <x:c r="K9" s="26" t="n">
        <x:v>14385</x:v>
      </x:c>
      <x:c r="L9" s="19" t="str">
        <x:v>Veetrag Computers Private Ltd.</x:v>
      </x:c>
      <x:c r="M9" s="19" t="n">
        <x:v>1</x:v>
      </x:c>
      <x:c r="N9" s="19" t="str">
        <x:v>ACTIVE/RECORDED</x:v>
      </x:c>
      <x:c r="O9" s="19" t="str"/>
      <x:c r="P9" s="19"/>
      <x:c r="Q9" s="19" t="str"/>
      <x:c r="R9" s="19" t="str"/>
      <x:c r="S9" s="19"/>
      <x:c r="T9" s="19" t="str"/>
      <x:c r="U9" s="19" t="str">
        <x:v>Printer : HP Laserjet CP-1025 Sr. No. 1 Year Warranty HP</x:v>
      </x:c>
    </x:row>
    <x:row r="10" ht="34" customHeight="1">
      <x:c r="A10" s="19" t="str">
        <x:v>BAT0059</x:v>
      </x:c>
      <x:c r="B10" s="19" t="str">
        <x:v>D-06</x:v>
      </x:c>
      <x:c r="C10" s="19" t="str">
        <x:v>Web Development Tool Lab</x:v>
      </x:c>
      <x:c r="D10" s="19" t="str">
        <x:v>037</x:v>
      </x:c>
      <x:c r="E10" s="19" t="str">
        <x:v>HP</x:v>
      </x:c>
      <x:c r="F10" s="19" t="str">
        <x:v>MFP 1005</x:v>
      </x:c>
      <x:c r="G10" s="28" t="n">
        <x:v>42620</x:v>
      </x:c>
      <x:c r="H10" s="19" t="n">
        <x:v>1</x:v>
      </x:c>
      <x:c r="I10" s="19" t="n">
        <x:v>1</x:v>
      </x:c>
      <x:c r="J10" s="26" t="n">
        <x:v>13999.99</x:v>
      </x:c>
      <x:c r="K10" s="26" t="n">
        <x:v>13999.99</x:v>
      </x:c>
      <x:c r="L10" s="19" t="str">
        <x:v>Veetrag Computers Private Ltd.</x:v>
      </x:c>
      <x:c r="M10" s="19" t="n">
        <x:v>1</x:v>
      </x:c>
      <x:c r="N10" s="19" t="str">
        <x:v>ACTIVE/RECORDED</x:v>
      </x:c>
      <x:c r="O10" s="19" t="str">
        <x:v>Print</x:v>
      </x:c>
      <x:c r="P10" s="19" t="n">
        <x:v>14</x:v>
      </x:c>
      <x:c r="Q10" s="19" t="str">
        <x:v>1200X1200 DPI</x:v>
      </x:c>
      <x:c r="R10" s="19" t="str">
        <x:v>USB</x:v>
      </x:c>
      <x:c r="S10" s="19"/>
      <x:c r="T10" s="19" t="str"/>
      <x:c r="U10" s="19" t="str">
        <x:v>Printer: HP Laserjet MFP 1005, Print resolution-True 1200X1200 DPI, Print Speed-14 PPM, USB Connectivity,Economode Print Quality Setting Print, Economode Compatible with 12A Toner Warrenty 1 Year on site service hy HP. HP</x:v>
      </x:c>
    </x:row>
    <x:row r="11" ht="34" customHeight="1">
      <x:c r="A11" s="19" t="str">
        <x:v>BAT0060</x:v>
      </x:c>
      <x:c r="B11" s="19" t="str">
        <x:v>D-06</x:v>
      </x:c>
      <x:c r="C11" s="19" t="str">
        <x:v>Web Development Tool Lab</x:v>
      </x:c>
      <x:c r="D11" s="19" t="str">
        <x:v>041</x:v>
      </x:c>
      <x:c r="E11" s="19" t="str">
        <x:v>Epson</x:v>
      </x:c>
      <x:c r="F11" s="19" t="str">
        <x:v>M200- C11CC83412</x:v>
      </x:c>
      <x:c r="G11" s="28" t="n">
        <x:v>44893</x:v>
      </x:c>
      <x:c r="H11" s="19" t="n">
        <x:v>1</x:v>
      </x:c>
      <x:c r="I11" s="19" t="n">
        <x:v>1</x:v>
      </x:c>
      <x:c r="J11" s="26" t="n">
        <x:v>15500</x:v>
      </x:c>
      <x:c r="K11" s="26" t="n">
        <x:v>15500</x:v>
      </x:c>
      <x:c r="L11" s="19" t="str">
        <x:v>Veetrag Computers Private Ltd.</x:v>
      </x:c>
      <x:c r="M11" s="19" t="n">
        <x:v>1</x:v>
      </x:c>
      <x:c r="N11" s="19" t="str">
        <x:v>ACTIVE/RECORDED</x:v>
      </x:c>
      <x:c r="O11" s="19" t="str">
        <x:v>Print</x:v>
      </x:c>
      <x:c r="P11" s="19" t="n">
        <x:v>34</x:v>
      </x:c>
      <x:c r="Q11" s="19" t="str">
        <x:v>1400X720 DPI</x:v>
      </x:c>
      <x:c r="R11" s="19" t="str">
        <x:v>USB, Ethernet</x:v>
      </x:c>
      <x:c r="S11" s="19"/>
      <x:c r="T11" s="19" t="str">
        <x:v>S2LY322882</x:v>
      </x:c>
      <x:c r="U11"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S2LY322882 ( GST 18 % Included) Epson</x:v>
      </x:c>
    </x:row>
    <x:row r="12" ht="34" customHeight="1">
      <x:c r="A12" s="19" t="str">
        <x:v>BAT0061</x:v>
      </x:c>
      <x:c r="B12" s="19" t="str">
        <x:v>D-07</x:v>
      </x:c>
      <x:c r="C12" s="19" t="str">
        <x:v>Network Laboratory</x:v>
      </x:c>
      <x:c r="D12" s="19" t="str">
        <x:v>004</x:v>
      </x:c>
      <x:c r="E12" s="19" t="str">
        <x:v>HP</x:v>
      </x:c>
      <x:c r="F12" s="19" t="str">
        <x:v>1005</x:v>
      </x:c>
      <x:c r="G12" s="28" t="n">
        <x:v>41528</x:v>
      </x:c>
      <x:c r="H12" s="19" t="n">
        <x:v>1</x:v>
      </x:c>
      <x:c r="I12" s="19" t="n">
        <x:v>1</x:v>
      </x:c>
      <x:c r="J12" s="26" t="n">
        <x:v>11800</x:v>
      </x:c>
      <x:c r="K12" s="26" t="n">
        <x:v>11800</x:v>
      </x:c>
      <x:c r="L12" s="19" t="str">
        <x:v>IT GLOB</x:v>
      </x:c>
      <x:c r="M12" s="19" t="n">
        <x:v>1</x:v>
      </x:c>
      <x:c r="N12" s="19" t="str">
        <x:v>OK</x:v>
      </x:c>
      <x:c r="O12" s="19" t="str">
        <x:v>Print/Scan/Copy</x:v>
      </x:c>
      <x:c r="P12" s="19"/>
      <x:c r="Q12" s="19" t="str"/>
      <x:c r="R12" s="19" t="str"/>
      <x:c r="S12" s="19"/>
      <x:c r="T12" s="19" t="str">
        <x:v>CNH8F33G</x:v>
      </x:c>
      <x:c r="U12" s="19" t="str">
        <x:v>HP 1005 (A10) All in One printer with scan, Copy &amp; Print Option Warranty 1 Year Sr. No. CNH8F33G (Including 5% @ VAT) HP</x:v>
      </x:c>
    </x:row>
    <x:row r="13" ht="34" customHeight="1">
      <x:c r="A13" s="19" t="str">
        <x:v>BAT0062</x:v>
      </x:c>
      <x:c r="B13" s="19" t="str">
        <x:v>D-09</x:v>
      </x:c>
      <x:c r="C13" s="19" t="str">
        <x:v>Apple Education Center Laboratory</x:v>
      </x:c>
      <x:c r="D13" s="19" t="str">
        <x:v>002</x:v>
      </x:c>
      <x:c r="E13" s="19" t="str">
        <x:v>HP</x:v>
      </x:c>
      <x:c r="F13" s="19" t="str">
        <x:v>MFP 1005</x:v>
      </x:c>
      <x:c r="G13" s="28" t="n">
        <x:v>42620</x:v>
      </x:c>
      <x:c r="H13" s="19" t="n">
        <x:v>1</x:v>
      </x:c>
      <x:c r="I13" s="19" t="n">
        <x:v>1</x:v>
      </x:c>
      <x:c r="J13" s="26" t="n">
        <x:v>13999.99</x:v>
      </x:c>
      <x:c r="K13" s="26" t="n">
        <x:v>13999.99</x:v>
      </x:c>
      <x:c r="L13" s="19" t="str">
        <x:v>Veetrag Computers Private Ltd.</x:v>
      </x:c>
      <x:c r="M13" s="19" t="n">
        <x:v>1</x:v>
      </x:c>
      <x:c r="N13" s="19" t="str">
        <x:v>ACTIVE/RECORDED</x:v>
      </x:c>
      <x:c r="O13" s="19" t="str">
        <x:v>Print</x:v>
      </x:c>
      <x:c r="P13" s="19" t="n">
        <x:v>14</x:v>
      </x:c>
      <x:c r="Q13" s="19" t="str">
        <x:v>1200X1200 DPI</x:v>
      </x:c>
      <x:c r="R13" s="19" t="str">
        <x:v>USB</x:v>
      </x:c>
      <x:c r="S13" s="19"/>
      <x:c r="T13" s="19" t="str"/>
      <x:c r="U13" s="19" t="str">
        <x:v>Printer: HP Laserjet MFP 1005, Print resolution-True 1200X1200 DPI, Print Speed-14 PPM, USB Connectivity,Economode Print Quality Setting Print, Economode Compatible with 12A Toner Warrenty 1 Year on site service hy HP. HP</x:v>
      </x:c>
    </x:row>
    <x:row r="14" ht="34" customHeight="1">
      <x:c r="A14" s="19" t="str">
        <x:v>BAT0063</x:v>
      </x:c>
      <x:c r="B14" s="19" t="str">
        <x:v>D-10</x:v>
      </x:c>
      <x:c r="C14" s="19" t="str">
        <x:v>PG laboratory-1</x:v>
      </x:c>
      <x:c r="D14" s="19" t="str">
        <x:v>006</x:v>
      </x:c>
      <x:c r="E14" s="19" t="str">
        <x:v>Epson</x:v>
      </x:c>
      <x:c r="F14" s="19" t="str">
        <x:v>M200- C11CC83412</x:v>
      </x:c>
      <x:c r="G14" s="28" t="n">
        <x:v>44893</x:v>
      </x:c>
      <x:c r="H14" s="19" t="n">
        <x:v>1</x:v>
      </x:c>
      <x:c r="I14" s="19" t="n">
        <x:v>1</x:v>
      </x:c>
      <x:c r="J14" s="26" t="n">
        <x:v>15500</x:v>
      </x:c>
      <x:c r="K14" s="26" t="n">
        <x:v>15500</x:v>
      </x:c>
      <x:c r="L14" s="19" t="str">
        <x:v>Veetrag Computers Private Ltd.</x:v>
      </x:c>
      <x:c r="M14" s="19" t="n">
        <x:v>1</x:v>
      </x:c>
      <x:c r="N14" s="19" t="str">
        <x:v>ACTIVE/RECORDED</x:v>
      </x:c>
      <x:c r="O14" s="19" t="str">
        <x:v>Print</x:v>
      </x:c>
      <x:c r="P14" s="19" t="n">
        <x:v>34</x:v>
      </x:c>
      <x:c r="Q14" s="19" t="str">
        <x:v>1400X720 DPI</x:v>
      </x:c>
      <x:c r="R14" s="19" t="str">
        <x:v>USB, Ethernet</x:v>
      </x:c>
      <x:c r="S14" s="19"/>
      <x:c r="T14" s="19" t="str">
        <x:v>S2LY322880</x:v>
      </x:c>
      <x:c r="U14" s="19" t="str">
        <x:v>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S2LY322880 ( GST 18 % Included) Epson</x:v>
      </x:c>
    </x:row>
    <x:row r="15" ht="34" customHeight="1">
      <x:c r="A15" s="19" t="str">
        <x:v>BAT0064</x:v>
      </x:c>
      <x:c r="B15" s="19" t="str">
        <x:v>D-11</x:v>
      </x:c>
      <x:c r="C15" s="19" t="str">
        <x:v>PG laboratory-2</x:v>
      </x:c>
      <x:c r="D15" s="19" t="str">
        <x:v>003</x:v>
      </x:c>
      <x:c r="E15" s="19" t="str">
        <x:v>Epson</x:v>
      </x:c>
      <x:c r="F15" s="19" t="str">
        <x:v>M200- C11CC83412</x:v>
      </x:c>
      <x:c r="G15" s="28" t="n">
        <x:v>45314</x:v>
      </x:c>
      <x:c r="H15" s="19" t="n">
        <x:v>1</x:v>
      </x:c>
      <x:c r="I15" s="19" t="n">
        <x:v>1</x:v>
      </x:c>
      <x:c r="J15" s="26" t="n">
        <x:v>15547</x:v>
      </x:c>
      <x:c r="K15" s="26" t="n">
        <x:v>15547</x:v>
      </x:c>
      <x:c r="L15" s="19" t="str">
        <x:v>Veetrag Computers Private Ltd.</x:v>
      </x:c>
      <x:c r="M15" s="19" t="n">
        <x:v>1</x:v>
      </x:c>
      <x:c r="N15" s="19" t="str">
        <x:v>ACTIVE/RECORDED</x:v>
      </x:c>
      <x:c r="O15" s="19" t="str">
        <x:v>Print</x:v>
      </x:c>
      <x:c r="P15" s="19" t="n">
        <x:v>34</x:v>
      </x:c>
      <x:c r="Q15" s="19" t="str">
        <x:v>1400X720 DPI</x:v>
      </x:c>
      <x:c r="R15" s="19" t="str">
        <x:v>USB, Ethernet</x:v>
      </x:c>
      <x:c r="S15" s="19"/>
      <x:c r="T15" s="19" t="str">
        <x:v>S2LY338134</x:v>
      </x:c>
      <x:c r="U15" s="19" t="str">
        <x:v>Printer: Epson M200- C11CC83412 Print Resolution -1400 X 720 Dpi(With variable sized) Dropped Technology) Print Speed-34 Ppm in Draf Mode, Connectivity-USB 2.0 High Speed, Ink trype-Genuine Pgment inks That are water and fade Resistance.Input Tray-100 Sheets, A4 Plain Paper, Network/Duplex- Ethernet 100 BASE-TX/10base-T, Warranty-1 Year or 50000 Copies whichever is Earlier by EPSON Sr. No. S2LY338134 ( GST 18 % Included) Epson</x:v>
      </x:c>
    </x:row>
    <x:row r="16" ht="34" customHeight="1"/>
    <x:row r="17" ht="34" customHeight="1"/>
    <x:row r="18" ht="34" customHeight="1"/>
    <x:row r="19" ht="34" customHeight="1"/>
    <x:row r="20" ht="34" customHeight="1"/>
    <x:row r="21" ht="34" customHeight="1"/>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U1"/>
  </x:mergeCells>
  <x:pageMargins left="0.7" right="0.7" top="0.75" bottom="0.75" header="0.3" footer="0.3"/>
  <x:tableParts count="1">
    <x:tablePart xmlns:r="http://schemas.openxmlformats.org/officeDocument/2006/relationships" r:id="R7d8959cc28a34b38"/>
  </x:tableParts>
</x:worksheet>
</file>

<file path=xl/worksheets/sheet14.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3" hidden="0" customWidth="1"/>
    <x:col min="5" max="5" width="14" hidden="0" customWidth="1"/>
    <x:col min="6" max="6" width="22" hidden="0" customWidth="1"/>
    <x:col min="7" max="7" width="13" hidden="0" customWidth="1"/>
    <x:col min="8" max="8" width="14"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36" hidden="0" customWidth="1"/>
    <x:col min="22" max="22" width="55" hidden="0" customWidth="1"/>
  </x:cols>
  <x:sheetData>
    <x:row r="1">
      <x:c r="A1" s="5" t="str">
        <x:v>UPS — categorized attributes by purchase batch</x:v>
      </x:c>
    </x:row>
    <x:row r="2">
      <x:c r="A2" s="24" t="str">
        <x:v>Rows: 17</x:v>
      </x:c>
    </x:row>
    <x:row r="4" ht="34" customHeight="1">
      <x:c r="A4" s="18" t="str">
        <x:v>batch_id</x:v>
      </x:c>
      <x:c r="B4" s="18" t="str">
        <x:v>lab_code</x:v>
      </x:c>
      <x:c r="C4" s="18" t="str">
        <x:v>lab_name</x:v>
      </x:c>
      <x:c r="D4" s="18" t="str">
        <x:v>dead_stock_sr_no</x:v>
      </x:c>
      <x:c r="E4" s="18" t="str">
        <x:v>brand</x:v>
      </x:c>
      <x:c r="F4" s="18" t="str">
        <x:v>model_name</x:v>
      </x:c>
      <x:c r="G4" s="18" t="str">
        <x:v>purchase_date</x:v>
      </x:c>
      <x:c r="H4" s="18" t="str">
        <x:v>quantity_current</x:v>
      </x:c>
      <x:c r="I4" s="18" t="str">
        <x:v>quantity_original</x:v>
      </x:c>
      <x:c r="J4" s="18" t="str">
        <x:v>unit_rate</x:v>
      </x:c>
      <x:c r="K4" s="18" t="str">
        <x:v>total_cost</x:v>
      </x:c>
      <x:c r="L4" s="18" t="str">
        <x:v>supplier_name</x:v>
      </x:c>
      <x:c r="M4" s="18" t="str">
        <x:v>warranty_years</x:v>
      </x:c>
      <x:c r="N4" s="18" t="str">
        <x:v>status</x:v>
      </x:c>
      <x:c r="O4" s="18" t="str">
        <x:v>capacity_kva</x:v>
      </x:c>
      <x:c r="P4" s="18" t="str">
        <x:v>dc_voltage</x:v>
      </x:c>
      <x:c r="Q4" s="18" t="str">
        <x:v>input_voltage_range</x:v>
      </x:c>
      <x:c r="R4" s="18" t="str">
        <x:v>output_power_factor</x:v>
      </x:c>
      <x:c r="S4" s="18" t="str">
        <x:v>charger_amp</x:v>
      </x:c>
      <x:c r="T4" s="18" t="str">
        <x:v>battery_spec</x:v>
      </x:c>
      <x:c r="U4" s="18" t="str">
        <x:v>serial_numbers_raw</x:v>
      </x:c>
      <x:c r="V4" s="18" t="str">
        <x:v>raw_description</x:v>
      </x:c>
    </x:row>
    <x:row r="5" ht="34" customHeight="1">
      <x:c r="A5" s="19" t="str">
        <x:v>BAT0065</x:v>
      </x:c>
      <x:c r="B5" s="19" t="str">
        <x:v>D-01</x:v>
      </x:c>
      <x:c r="C5" s="19" t="str">
        <x:v>Linux Laboratory</x:v>
      </x:c>
      <x:c r="D5" s="19" t="str">
        <x:v>026</x:v>
      </x:c>
      <x:c r="E5" s="19" t="str">
        <x:v>Liebert</x:v>
      </x:c>
      <x:c r="F5" s="19" t="str">
        <x:v>Powerbank 6000</x:v>
      </x:c>
      <x:c r="G5" s="28" t="n">
        <x:v>38957</x:v>
      </x:c>
      <x:c r="H5" s="19" t="n">
        <x:v>1</x:v>
      </x:c>
      <x:c r="I5" s="19" t="n">
        <x:v>1</x:v>
      </x:c>
      <x:c r="J5" s="26" t="n">
        <x:v>98000</x:v>
      </x:c>
      <x:c r="K5" s="26" t="n">
        <x:v>98000</x:v>
      </x:c>
      <x:c r="L5" s="19" t="str">
        <x:v>Prasa Sales P. Ltd.</x:v>
      </x:c>
      <x:c r="M5" s="19"/>
      <x:c r="N5" s="19" t="str">
        <x:v>ACTIVE/RECORDED</x:v>
      </x:c>
      <x:c r="O5" s="19"/>
      <x:c r="P5" s="19"/>
      <x:c r="Q5" s="19" t="str"/>
      <x:c r="R5" s="19"/>
      <x:c r="S5" s="19"/>
      <x:c r="T5" s="19" t="str"/>
      <x:c r="U5" s="19" t="str">
        <x:v>200630J1410, LIEBERT</x:v>
      </x:c>
      <x:c r="V5" s="19" t="str">
        <x:v>Online UPS (Power Bank, 6000 Liebert Make) Sr. No. 200630J1410 Liebert</x:v>
      </x:c>
    </x:row>
    <x:row r="6" ht="34" customHeight="1">
      <x:c r="A6" s="19" t="str">
        <x:v>BAT0066</x:v>
      </x:c>
      <x:c r="B6" s="19" t="str">
        <x:v>D-01</x:v>
      </x:c>
      <x:c r="C6" s="19" t="str">
        <x:v>Linux Laboratory</x:v>
      </x:c>
      <x:c r="D6" s="19" t="str">
        <x:v>041</x:v>
      </x:c>
      <x:c r="E6" s="19" t="str">
        <x:v>Renutron</x:v>
      </x:c>
      <x:c r="F6" s="19" t="str">
        <x:v>6 KVA Online UPS</x:v>
      </x:c>
      <x:c r="G6" s="28" t="n">
        <x:v>44594</x:v>
      </x:c>
      <x:c r="H6" s="19" t="n">
        <x:v>1</x:v>
      </x:c>
      <x:c r="I6" s="19" t="n">
        <x:v>1</x:v>
      </x:c>
      <x:c r="J6" s="26" t="n">
        <x:v>84000</x:v>
      </x:c>
      <x:c r="K6" s="26" t="n">
        <x:v>84000</x:v>
      </x:c>
      <x:c r="L6" s="19" t="str">
        <x:v>Veetrag Computers Private Ltd.</x:v>
      </x:c>
      <x:c r="M6" s="19" t="n">
        <x:v>3</x:v>
      </x:c>
      <x:c r="N6" s="19" t="str">
        <x:v>ACTIVE/RECORDED</x:v>
      </x:c>
      <x:c r="O6" s="19" t="n">
        <x:v>6</x:v>
      </x:c>
      <x:c r="P6" s="19" t="n">
        <x:v>144</x:v>
      </x:c>
      <x:c r="Q6" s="19" t="str">
        <x:v>150-280 V</x:v>
      </x:c>
      <x:c r="R6" s="19" t="n">
        <x:v>0.8</x:v>
      </x:c>
      <x:c r="S6" s="19" t="n">
        <x:v>15</x:v>
      </x:c>
      <x:c r="T6" s="19" t="str"/>
      <x:c r="U6" s="19" t="str">
        <x:v>D2202499</x:v>
      </x:c>
      <x:c r="V6"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D2202499 ( Including CGST &amp; SGST 18 % ) Renutron</x:v>
      </x:c>
    </x:row>
    <x:row r="7" ht="34" customHeight="1">
      <x:c r="A7" s="19" t="str">
        <x:v>BAT0067</x:v>
      </x:c>
      <x:c r="B7" s="19" t="str">
        <x:v>D-02</x:v>
      </x:c>
      <x:c r="C7" s="19" t="str">
        <x:v>Database Laboratory</x:v>
      </x:c>
      <x:c r="D7" s="19" t="str">
        <x:v>013</x:v>
      </x:c>
      <x:c r="E7" s="19" t="str">
        <x:v>RPC Online</x:v>
      </x:c>
      <x:c r="F7" s="19" t="str">
        <x:v>RPC Online 4 KVA</x:v>
      </x:c>
      <x:c r="G7" s="28" t="n">
        <x:v>38576</x:v>
      </x:c>
      <x:c r="H7" s="19" t="n">
        <x:v>1</x:v>
      </x:c>
      <x:c r="I7" s="19" t="n">
        <x:v>1</x:v>
      </x:c>
      <x:c r="J7" s="26" t="n">
        <x:v>78000</x:v>
      </x:c>
      <x:c r="K7" s="26" t="n">
        <x:v>78000</x:v>
      </x:c>
      <x:c r="L7" s="19" t="str">
        <x:v>Veetrag Computers Private Ltd.</x:v>
      </x:c>
      <x:c r="M7" s="19"/>
      <x:c r="N7" s="19" t="str">
        <x:v>NOT_REPAIRABLE</x:v>
      </x:c>
      <x:c r="O7" s="19" t="n">
        <x:v>4</x:v>
      </x:c>
      <x:c r="P7" s="19"/>
      <x:c r="Q7" s="19" t="str"/>
      <x:c r="R7" s="19"/>
      <x:c r="S7" s="19"/>
      <x:c r="T7" s="19" t="str"/>
      <x:c r="U7" s="19" t="str">
        <x:v>0508286</x:v>
      </x:c>
      <x:c r="V7" s="19" t="str">
        <x:v>4 KVA Online With 3x12v 74 AH Batteries (Sr. No. 0508286) Model- RPC ONLINE Sealed Lead Acid Maintainance free Batteries - 6 RPC Online</x:v>
      </x:c>
    </x:row>
    <x:row r="8" ht="34" customHeight="1">
      <x:c r="A8" s="19" t="str">
        <x:v>BAT0068</x:v>
      </x:c>
      <x:c r="B8" s="19" t="str">
        <x:v>D-02</x:v>
      </x:c>
      <x:c r="C8" s="19" t="str">
        <x:v>Database Laboratory</x:v>
      </x:c>
      <x:c r="D8" s="19" t="str">
        <x:v>035</x:v>
      </x:c>
      <x:c r="E8" s="19" t="str">
        <x:v>Renutron</x:v>
      </x:c>
      <x:c r="F8" s="19" t="str">
        <x:v>6 KVA Online UPS</x:v>
      </x:c>
      <x:c r="G8" s="28" t="n">
        <x:v>44594</x:v>
      </x:c>
      <x:c r="H8" s="19" t="n">
        <x:v>1</x:v>
      </x:c>
      <x:c r="I8" s="19" t="n">
        <x:v>1</x:v>
      </x:c>
      <x:c r="J8" s="26" t="n">
        <x:v>84000</x:v>
      </x:c>
      <x:c r="K8" s="26" t="n">
        <x:v>84000</x:v>
      </x:c>
      <x:c r="L8" s="19" t="str">
        <x:v>Veetrag Computers Private Ltd.</x:v>
      </x:c>
      <x:c r="M8" s="19" t="n">
        <x:v>3</x:v>
      </x:c>
      <x:c r="N8" s="19" t="str">
        <x:v>ACTIVE/RECORDED</x:v>
      </x:c>
      <x:c r="O8" s="19" t="n">
        <x:v>6</x:v>
      </x:c>
      <x:c r="P8" s="19" t="n">
        <x:v>144</x:v>
      </x:c>
      <x:c r="Q8" s="19" t="str">
        <x:v>150-280 V</x:v>
      </x:c>
      <x:c r="R8" s="19" t="n">
        <x:v>0.8</x:v>
      </x:c>
      <x:c r="S8" s="19" t="n">
        <x:v>15</x:v>
      </x:c>
      <x:c r="T8" s="19" t="str"/>
      <x:c r="U8" s="19" t="str">
        <x:v>D2202500</x:v>
      </x:c>
      <x:c r="V8"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D2202500 ( Including CGST &amp; SGST 18 % ) Renutron</x:v>
      </x:c>
    </x:row>
    <x:row r="9" ht="34" customHeight="1">
      <x:c r="A9" s="19" t="str">
        <x:v>BAT0069</x:v>
      </x:c>
      <x:c r="B9" s="19" t="str">
        <x:v>D-03</x:v>
      </x:c>
      <x:c r="C9" s="19" t="str">
        <x:v>Project Laboratory</x:v>
      </x:c>
      <x:c r="D9" s="19" t="str">
        <x:v>045</x:v>
      </x:c>
      <x:c r="E9" s="19" t="str">
        <x:v>Renutron</x:v>
      </x:c>
      <x:c r="F9" s="19" t="str">
        <x:v>6 KVA Online UPS</x:v>
      </x:c>
      <x:c r="G9" s="28" t="n">
        <x:v>43021</x:v>
      </x:c>
      <x:c r="H9" s="19" t="n">
        <x:v>1</x:v>
      </x:c>
      <x:c r="I9" s="19" t="n">
        <x:v>1</x:v>
      </x:c>
      <x:c r="J9" s="26" t="n">
        <x:v>124000</x:v>
      </x:c>
      <x:c r="K9" s="26" t="n">
        <x:v>124000</x:v>
      </x:c>
      <x:c r="L9" s="19" t="str">
        <x:v>Veetrag Computers Private Ltd.</x:v>
      </x:c>
      <x:c r="M9" s="19" t="n">
        <x:v>3</x:v>
      </x:c>
      <x:c r="N9" s="19" t="str">
        <x:v>ACTIVE/RECORDED</x:v>
      </x:c>
      <x:c r="O9" s="19" t="n">
        <x:v>6</x:v>
      </x:c>
      <x:c r="P9" s="19" t="n">
        <x:v>144</x:v>
      </x:c>
      <x:c r="Q9" s="19" t="str">
        <x:v>150-280 V</x:v>
      </x:c>
      <x:c r="R9" s="19" t="n">
        <x:v>0.8</x:v>
      </x:c>
      <x:c r="S9" s="19" t="n">
        <x:v>15</x:v>
      </x:c>
      <x:c r="T9" s="19" t="str">
        <x:v>12V 42Ah</x:v>
      </x:c>
      <x:c r="U9" s="19" t="str">
        <x:v>1710082, RENUTRON</x:v>
      </x:c>
      <x:c r="V9"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,QUANTA SMF Battery 12 Volt 42 AH Qty. 12 (Warranty- 2 Years) &amp; Warrenty: 3Years on Site By RENUTRON Sr. No 1710082 Renutron</x:v>
      </x:c>
    </x:row>
    <x:row r="10" ht="34" customHeight="1">
      <x:c r="A10" s="19" t="str">
        <x:v>BAT0070</x:v>
      </x:c>
      <x:c r="B10" s="19" t="str">
        <x:v>D-03</x:v>
      </x:c>
      <x:c r="C10" s="19" t="str">
        <x:v>Project Laboratory</x:v>
      </x:c>
      <x:c r="D10" s="19" t="str">
        <x:v>047</x:v>
      </x:c>
      <x:c r="E10" s="19" t="str">
        <x:v>Renutron</x:v>
      </x:c>
      <x:c r="F10" s="19" t="str">
        <x:v>3 KVA Online UPS</x:v>
      </x:c>
      <x:c r="G10" s="28" t="n">
        <x:v>43335</x:v>
      </x:c>
      <x:c r="H10" s="19" t="n">
        <x:v>1</x:v>
      </x:c>
      <x:c r="I10" s="19" t="n">
        <x:v>1</x:v>
      </x:c>
      <x:c r="J10" s="26" t="n">
        <x:v>44000</x:v>
      </x:c>
      <x:c r="K10" s="26" t="n">
        <x:v>44000</x:v>
      </x:c>
      <x:c r="L10" s="19" t="str">
        <x:v>Veetrag Computers Private Ltd.</x:v>
      </x:c>
      <x:c r="M10" s="19"/>
      <x:c r="N10" s="19" t="str">
        <x:v>ACTIVE/RECORDED</x:v>
      </x:c>
      <x:c r="O10" s="19" t="n">
        <x:v>3</x:v>
      </x:c>
      <x:c r="P10" s="19" t="n">
        <x:v>72</x:v>
      </x:c>
      <x:c r="Q10" s="19" t="str"/>
      <x:c r="R10" s="19"/>
      <x:c r="S10" s="19"/>
      <x:c r="T10" s="19" t="str"/>
      <x:c r="U10" s="19" t="str">
        <x:v>C1808262, RENUTRON</x:v>
      </x:c>
      <x:c r="V10" s="19" t="str">
        <x:v>UPS Renutron 3 KVA Online UPS, 3KVA/72 V DC Sr. No. C1808262 Renutron</x:v>
      </x:c>
    </x:row>
    <x:row r="11" ht="34" customHeight="1">
      <x:c r="A11" s="19" t="str">
        <x:v>BAT0071</x:v>
      </x:c>
      <x:c r="B11" s="19" t="str">
        <x:v>D-04</x:v>
      </x:c>
      <x:c r="C11" s="19" t="str">
        <x:v>Application Development Tool Laboratory</x:v>
      </x:c>
      <x:c r="D11" s="19" t="str">
        <x:v>008</x:v>
      </x:c>
      <x:c r="E11" s="19" t="str"/>
      <x:c r="F11" s="19" t="str">
        <x:v>4 KVA Online UPS</x:v>
      </x:c>
      <x:c r="G11" s="28" t="n">
        <x:v>38576</x:v>
      </x:c>
      <x:c r="H11" s="19" t="n">
        <x:v>1</x:v>
      </x:c>
      <x:c r="I11" s="19" t="n">
        <x:v>1</x:v>
      </x:c>
      <x:c r="J11" s="26" t="n">
        <x:v>78000</x:v>
      </x:c>
      <x:c r="K11" s="26" t="n">
        <x:v>78000</x:v>
      </x:c>
      <x:c r="L11" s="19" t="str">
        <x:v>Veetrag Computers Private Ltd.</x:v>
      </x:c>
      <x:c r="M11" s="19"/>
      <x:c r="N11" s="19" t="str">
        <x:v>ACTIVE/RECORDED</x:v>
      </x:c>
      <x:c r="O11" s="19" t="n">
        <x:v>4</x:v>
      </x:c>
      <x:c r="P11" s="19"/>
      <x:c r="Q11" s="19" t="str"/>
      <x:c r="R11" s="19"/>
      <x:c r="S11" s="19"/>
      <x:c r="T11" s="19" t="str"/>
      <x:c r="U11" s="19" t="str"/>
      <x:c r="V11" s="19" t="str">
        <x:v>4 KVA Online, Input Voltage 230V, Backup Upto 90 Min, Batteries 3X12V, 7 AH Sealed Lead Acid Maintenance Free Batteries</x:v>
      </x:c>
    </x:row>
    <x:row r="12" ht="34" customHeight="1">
      <x:c r="A12" s="19" t="str">
        <x:v>BAT0072</x:v>
      </x:c>
      <x:c r="B12" s="19" t="str">
        <x:v>D-04</x:v>
      </x:c>
      <x:c r="C12" s="19" t="str">
        <x:v>Application Development Tool Laboratory</x:v>
      </x:c>
      <x:c r="D12" s="19" t="str">
        <x:v>030</x:v>
      </x:c>
      <x:c r="E12" s="19" t="str">
        <x:v>Renutron</x:v>
      </x:c>
      <x:c r="F12" s="19" t="str">
        <x:v>6 KVA Online UPS</x:v>
      </x:c>
      <x:c r="G12" s="28" t="n">
        <x:v>43021</x:v>
      </x:c>
      <x:c r="H12" s="19" t="n">
        <x:v>1</x:v>
      </x:c>
      <x:c r="I12" s="19" t="n">
        <x:v>1</x:v>
      </x:c>
      <x:c r="J12" s="26" t="n">
        <x:v>80500</x:v>
      </x:c>
      <x:c r="K12" s="26" t="n">
        <x:v>80500</x:v>
      </x:c>
      <x:c r="L12" s="19" t="str">
        <x:v>Veetrag Computers Private Ltd.</x:v>
      </x:c>
      <x:c r="M12" s="19" t="n">
        <x:v>3</x:v>
      </x:c>
      <x:c r="N12" s="19" t="str">
        <x:v>ACTIVE/RECORDED</x:v>
      </x:c>
      <x:c r="O12" s="19" t="n">
        <x:v>6</x:v>
      </x:c>
      <x:c r="P12" s="19" t="n">
        <x:v>144</x:v>
      </x:c>
      <x:c r="Q12" s="19" t="str">
        <x:v>150-280 V</x:v>
      </x:c>
      <x:c r="R12" s="19" t="n">
        <x:v>0.8</x:v>
      </x:c>
      <x:c r="S12" s="19" t="n">
        <x:v>15</x:v>
      </x:c>
      <x:c r="T12" s="19" t="str"/>
      <x:c r="U12" s="19" t="str">
        <x:v>1710086</x:v>
      </x:c>
      <x:c r="V12"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13" ht="34" customHeight="1">
      <x:c r="A13" s="19" t="str">
        <x:v>BAT0073</x:v>
      </x:c>
      <x:c r="B13" s="19" t="str">
        <x:v>D-05</x:v>
      </x:c>
      <x:c r="C13" s="19" t="str">
        <x:v>Operating System Laboratory</x:v>
      </x:c>
      <x:c r="D13" s="19" t="str">
        <x:v>012</x:v>
      </x:c>
      <x:c r="E13" s="19" t="str">
        <x:v>Liebert</x:v>
      </x:c>
      <x:c r="F13" s="19" t="str">
        <x:v>Super 420D</x:v>
      </x:c>
      <x:c r="G13" s="28" t="n">
        <x:v>39172</x:v>
      </x:c>
      <x:c r="H13" s="19" t="n">
        <x:v>1</x:v>
      </x:c>
      <x:c r="I13" s="19" t="n">
        <x:v>1</x:v>
      </x:c>
      <x:c r="J13" s="26" t="n">
        <x:v>332800</x:v>
      </x:c>
      <x:c r="K13" s="26" t="n">
        <x:v>332800</x:v>
      </x:c>
      <x:c r="L13" s="19" t="str">
        <x:v>Prasa Sales P. Ltd.</x:v>
      </x:c>
      <x:c r="M13" s="19"/>
      <x:c r="N13" s="19" t="str">
        <x:v>ACTIVE/RECORDED</x:v>
      </x:c>
      <x:c r="O13" s="19" t="n">
        <x:v>20</x:v>
      </x:c>
      <x:c r="P13" s="19"/>
      <x:c r="Q13" s="19" t="str"/>
      <x:c r="R13" s="19"/>
      <x:c r="S13" s="19"/>
      <x:c r="T13" s="19" t="str">
        <x:v>12V 100Ah</x:v>
      </x:c>
      <x:c r="U13" s="19" t="str"/>
      <x:c r="V13" s="19" t="str">
        <x:v>S420D, LIBERT UPS, Model Super 420D, 20 KVA, Input 415V, 3 Phase (IGBT Rectifier) Output 230V, 1 Phase, 12V,100 AH HBL (Triumph- HP) Battery Rating 12 V, 100 AH with Accessories and Hardware Libert</x:v>
      </x:c>
    </x:row>
    <x:row r="14" ht="34" customHeight="1">
      <x:c r="A14" s="19" t="str">
        <x:v>BAT0074</x:v>
      </x:c>
      <x:c r="B14" s="19" t="str">
        <x:v>D-05</x:v>
      </x:c>
      <x:c r="C14" s="19" t="str">
        <x:v>Operating System Laboratory</x:v>
      </x:c>
      <x:c r="D14" s="19" t="str">
        <x:v>031</x:v>
      </x:c>
      <x:c r="E14" s="19" t="str">
        <x:v>Renutron</x:v>
      </x:c>
      <x:c r="F14" s="19" t="str">
        <x:v>6 KVA Online UPS</x:v>
      </x:c>
      <x:c r="G14" s="28" t="n">
        <x:v>43021</x:v>
      </x:c>
      <x:c r="H14" s="19" t="n">
        <x:v>1</x:v>
      </x:c>
      <x:c r="I14" s="19" t="n">
        <x:v>1</x:v>
      </x:c>
      <x:c r="J14" s="26" t="n">
        <x:v>80500</x:v>
      </x:c>
      <x:c r="K14" s="26" t="n">
        <x:v>80500</x:v>
      </x:c>
      <x:c r="L14" s="19" t="str">
        <x:v>Veetrag Computers Private Ltd.</x:v>
      </x:c>
      <x:c r="M14" s="19" t="n">
        <x:v>3</x:v>
      </x:c>
      <x:c r="N14" s="19" t="str">
        <x:v>ACTIVE/RECORDED</x:v>
      </x:c>
      <x:c r="O14" s="19" t="n">
        <x:v>6</x:v>
      </x:c>
      <x:c r="P14" s="19" t="n">
        <x:v>144</x:v>
      </x:c>
      <x:c r="Q14" s="19" t="str">
        <x:v>150-280 V</x:v>
      </x:c>
      <x:c r="R14" s="19" t="n">
        <x:v>0.8</x:v>
      </x:c>
      <x:c r="S14" s="19" t="n">
        <x:v>15</x:v>
      </x:c>
      <x:c r="T14" s="19" t="str"/>
      <x:c r="U14" s="19" t="str">
        <x:v>1710086</x:v>
      </x:c>
      <x:c r="V14"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Warranty: 3Years on Site By RENUTRON Sr. No 1710086 ( Including CGST &amp; SGST 18 % ) Renutron</x:v>
      </x:c>
    </x:row>
    <x:row r="15" ht="34" customHeight="1">
      <x:c r="A15" s="19" t="str">
        <x:v>BAT0075</x:v>
      </x:c>
      <x:c r="B15" s="19" t="str">
        <x:v>D-06</x:v>
      </x:c>
      <x:c r="C15" s="19" t="str">
        <x:v>Web Development Tool Lab</x:v>
      </x:c>
      <x:c r="D15" s="19" t="str">
        <x:v>012</x:v>
      </x:c>
      <x:c r="E15" s="19" t="str">
        <x:v>Liebert</x:v>
      </x:c>
      <x:c r="F15" s="19" t="str">
        <x:v>Powerbank 6000</x:v>
      </x:c>
      <x:c r="G15" s="28" t="n">
        <x:v>38957</x:v>
      </x:c>
      <x:c r="H15" s="19" t="n">
        <x:v>1</x:v>
      </x:c>
      <x:c r="I15" s="19" t="n">
        <x:v>1</x:v>
      </x:c>
      <x:c r="J15" s="26" t="n">
        <x:v>98000</x:v>
      </x:c>
      <x:c r="K15" s="26" t="n">
        <x:v>98000</x:v>
      </x:c>
      <x:c r="L15" s="19" t="str">
        <x:v>Prasa Sales P. Ltd.</x:v>
      </x:c>
      <x:c r="M15" s="19"/>
      <x:c r="N15" s="19" t="str">
        <x:v>ACTIVE/RECORDED</x:v>
      </x:c>
      <x:c r="O15" s="19"/>
      <x:c r="P15" s="19"/>
      <x:c r="Q15" s="19" t="str"/>
      <x:c r="R15" s="19"/>
      <x:c r="S15" s="19"/>
      <x:c r="T15" s="19" t="str"/>
      <x:c r="U15" s="19" t="str">
        <x:v>200630J1422, LIBERT</x:v>
      </x:c>
      <x:c r="V15" s="19" t="str">
        <x:v>Online UPS: Online UPS Powerbank 6000 Libert Make Sr. No. 200630J1422 Libert</x:v>
      </x:c>
    </x:row>
    <x:row r="16" ht="34" customHeight="1">
      <x:c r="A16" s="19" t="str">
        <x:v>BAT0076</x:v>
      </x:c>
      <x:c r="B16" s="19" t="str">
        <x:v>D-07</x:v>
      </x:c>
      <x:c r="C16" s="19" t="str">
        <x:v>Network Laboratory</x:v>
      </x:c>
      <x:c r="D16" s="19" t="str">
        <x:v>006</x:v>
      </x:c>
      <x:c r="E16" s="19" t="str">
        <x:v>Renutron</x:v>
      </x:c>
      <x:c r="F16" s="19" t="str">
        <x:v>3 KVA Online UPS</x:v>
      </x:c>
      <x:c r="G16" s="28" t="n">
        <x:v>41543</x:v>
      </x:c>
      <x:c r="H16" s="19" t="n">
        <x:v>1</x:v>
      </x:c>
      <x:c r="I16" s="19" t="n">
        <x:v>1</x:v>
      </x:c>
      <x:c r="J16" s="26" t="n">
        <x:v>63000</x:v>
      </x:c>
      <x:c r="K16" s="26" t="n">
        <x:v>63000</x:v>
      </x:c>
      <x:c r="L16" s="19" t="str">
        <x:v>Veetrag Computers Private Ltd.</x:v>
      </x:c>
      <x:c r="M16" s="19" t="n">
        <x:v>3</x:v>
      </x:c>
      <x:c r="N16" s="19" t="str">
        <x:v>OK</x:v>
      </x:c>
      <x:c r="O16" s="19" t="n">
        <x:v>3</x:v>
      </x:c>
      <x:c r="P16" s="19" t="n">
        <x:v>72</x:v>
      </x:c>
      <x:c r="Q16" s="19" t="str">
        <x:v>150-300 V</x:v>
      </x:c>
      <x:c r="R16" s="19" t="n">
        <x:v>0.8</x:v>
      </x:c>
      <x:c r="S16" s="19"/>
      <x:c r="T16" s="19" t="str"/>
      <x:c r="U16" s="19" t="str"/>
      <x:c r="V16" s="19" t="str">
        <x:v>Renutron 3 KVA Online Capacity: 3 KVA/72 V DC, Pure Sinewave Mocrocontroller based with build in isolation Transformer, O/p Power factor 0.8, I/P- 150-300 V AC Warranty- 3 Years Renutron</x:v>
      </x:c>
    </x:row>
    <x:row r="17" ht="34" customHeight="1">
      <x:c r="A17" s="19" t="str">
        <x:v>BAT0077</x:v>
      </x:c>
      <x:c r="B17" s="19" t="str">
        <x:v>D-07</x:v>
      </x:c>
      <x:c r="C17" s="19" t="str">
        <x:v>Network Laboratory</x:v>
      </x:c>
      <x:c r="D17" s="19" t="str">
        <x:v>008</x:v>
      </x:c>
      <x:c r="E17" s="19" t="str">
        <x:v>Renutron</x:v>
      </x:c>
      <x:c r="F17" s="19" t="str">
        <x:v>6 KVA Online UPS</x:v>
      </x:c>
      <x:c r="G17" s="28" t="n">
        <x:v>42424</x:v>
      </x:c>
      <x:c r="H17" s="19" t="n">
        <x:v>1</x:v>
      </x:c>
      <x:c r="I17" s="19" t="n">
        <x:v>1</x:v>
      </x:c>
      <x:c r="J17" s="26" t="n">
        <x:v>150900</x:v>
      </x:c>
      <x:c r="K17" s="26" t="n">
        <x:v>150900</x:v>
      </x:c>
      <x:c r="L17" s="19" t="str">
        <x:v>Veetrag Computers Private Ltd.</x:v>
      </x:c>
      <x:c r="M17" s="19" t="n">
        <x:v>3</x:v>
      </x:c>
      <x:c r="N17" s="19" t="str">
        <x:v>ACTIVE/RECORDED</x:v>
      </x:c>
      <x:c r="O17" s="19" t="n">
        <x:v>6</x:v>
      </x:c>
      <x:c r="P17" s="19" t="n">
        <x:v>144</x:v>
      </x:c>
      <x:c r="Q17" s="19" t="str">
        <x:v>150-280 V</x:v>
      </x:c>
      <x:c r="R17" s="19" t="n">
        <x:v>0.8</x:v>
      </x:c>
      <x:c r="S17" s="19" t="n">
        <x:v>15</x:v>
      </x:c>
      <x:c r="T17" s="19" t="str">
        <x:v>12V 80Ah</x:v>
      </x:c>
      <x:c r="U17" s="19" t="str"/>
      <x:c r="V17" s="19" t="str">
        <x:v>Renutron 6 KVA Online Capacity: 6 KVA/144 V DC, Pure Sinewave IGBT based PWM technology Dual Micro controller based with LCD Pannel Built in isolation Transformer, IGBT based I/p Power factor conrrected rectifier,O/P Factor 0.8 wider I?P range 150-280 V Heavy Duty Charger 15 AMP , Renu Urja tubular Stationary Battery 12 Volt 80 AH Qty. 12 Warranty- 3 Years on site &amp; 1 Year Battery Maintainance 4 visit by Renutron Renutron</x:v>
      </x:c>
    </x:row>
    <x:row r="18" ht="34" customHeight="1">
      <x:c r="A18" s="19" t="str">
        <x:v>BAT0078</x:v>
      </x:c>
      <x:c r="B18" s="19" t="str">
        <x:v>D-07</x:v>
      </x:c>
      <x:c r="C18" s="19" t="str">
        <x:v>Network Laboratory</x:v>
      </x:c>
      <x:c r="D18" s="19" t="str">
        <x:v>023</x:v>
      </x:c>
      <x:c r="E18" s="19" t="str">
        <x:v>Renutron</x:v>
      </x:c>
      <x:c r="F18" s="19" t="str">
        <x:v>6 KVA Online UPS</x:v>
      </x:c>
      <x:c r="G18" s="28" t="n">
        <x:v>44278</x:v>
      </x:c>
      <x:c r="H18" s="19" t="n">
        <x:v>1</x:v>
      </x:c>
      <x:c r="I18" s="19" t="n">
        <x:v>1</x:v>
      </x:c>
      <x:c r="J18" s="26" t="n">
        <x:v>90799</x:v>
      </x:c>
      <x:c r="K18" s="26" t="n">
        <x:v>90799</x:v>
      </x:c>
      <x:c r="L18" s="19" t="str">
        <x:v>Veetrag Computers Private Ltd.</x:v>
      </x:c>
      <x:c r="M18" s="19" t="n">
        <x:v>3</x:v>
      </x:c>
      <x:c r="N18" s="19" t="str">
        <x:v>ACTIVE/RECORDED</x:v>
      </x:c>
      <x:c r="O18" s="19" t="n">
        <x:v>6</x:v>
      </x:c>
      <x:c r="P18" s="19" t="n">
        <x:v>144</x:v>
      </x:c>
      <x:c r="Q18" s="19" t="str">
        <x:v>150-280 V</x:v>
      </x:c>
      <x:c r="R18" s="19" t="n">
        <x:v>0.8</x:v>
      </x:c>
      <x:c r="S18" s="19" t="n">
        <x:v>15</x:v>
      </x:c>
      <x:c r="T18" s="19" t="str"/>
      <x:c r="U18" s="19" t="str">
        <x:v>D2103010</x:v>
      </x:c>
      <x:c r="V18" s="19" t="str">
        <x:v>UPS WITH RACK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D2103010 ( Including CGST &amp; SGST 18 % ) Renutron</x:v>
      </x:c>
    </x:row>
    <x:row r="19" ht="34" customHeight="1">
      <x:c r="A19" s="19" t="str">
        <x:v>BAT0079</x:v>
      </x:c>
      <x:c r="B19" s="19" t="str">
        <x:v>D-08</x:v>
      </x:c>
      <x:c r="C19" s="19" t="str">
        <x:v>Artificial Intelligence &amp; Machine Learning Laboratory</x:v>
      </x:c>
      <x:c r="D19" s="19" t="str">
        <x:v>019</x:v>
      </x:c>
      <x:c r="E19" s="19" t="str">
        <x:v>Renutron</x:v>
      </x:c>
      <x:c r="F19" s="19" t="str">
        <x:v>6 KVA Online UPS</x:v>
      </x:c>
      <x:c r="G19" s="28" t="n">
        <x:v>43887</x:v>
      </x:c>
      <x:c r="H19" s="19" t="n">
        <x:v>1</x:v>
      </x:c>
      <x:c r="I19" s="19" t="n">
        <x:v>1</x:v>
      </x:c>
      <x:c r="J19" s="26" t="n">
        <x:v>81000</x:v>
      </x:c>
      <x:c r="K19" s="26" t="n">
        <x:v>81000</x:v>
      </x:c>
      <x:c r="L19" s="19" t="str">
        <x:v>Veetrag Computers Private Ltd.</x:v>
      </x:c>
      <x:c r="M19" s="19" t="n">
        <x:v>3</x:v>
      </x:c>
      <x:c r="N19" s="19" t="str">
        <x:v>ACTIVE/RECORDED</x:v>
      </x:c>
      <x:c r="O19" s="19" t="n">
        <x:v>6</x:v>
      </x:c>
      <x:c r="P19" s="19" t="n">
        <x:v>144</x:v>
      </x:c>
      <x:c r="Q19" s="19" t="str">
        <x:v>150-280 V</x:v>
      </x:c>
      <x:c r="R19" s="19" t="n">
        <x:v>0.8</x:v>
      </x:c>
      <x:c r="S19" s="19" t="n">
        <x:v>15</x:v>
      </x:c>
      <x:c r="T19" s="19" t="str"/>
      <x:c r="U19" s="19" t="str">
        <x:v>1710086</x:v>
      </x:c>
      <x:c r="V19"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20" ht="34" customHeight="1">
      <x:c r="A20" s="19" t="str">
        <x:v>BAT0080</x:v>
      </x:c>
      <x:c r="B20" s="19" t="str">
        <x:v>D-09</x:v>
      </x:c>
      <x:c r="C20" s="19" t="str">
        <x:v>Apple Education Center Laboratory</x:v>
      </x:c>
      <x:c r="D20" s="19" t="str">
        <x:v>017</x:v>
      </x:c>
      <x:c r="E20" s="19" t="str">
        <x:v>Renutron</x:v>
      </x:c>
      <x:c r="F20" s="19" t="str">
        <x:v>6 KVA Online UPS</x:v>
      </x:c>
      <x:c r="G20" s="28" t="n">
        <x:v>45744</x:v>
      </x:c>
      <x:c r="H20" s="19" t="n">
        <x:v>2</x:v>
      </x:c>
      <x:c r="I20" s="19" t="n">
        <x:v>2</x:v>
      </x:c>
      <x:c r="J20" s="26" t="n">
        <x:v>68400</x:v>
      </x:c>
      <x:c r="K20" s="26" t="n">
        <x:v>136800</x:v>
      </x:c>
      <x:c r="L20" s="19" t="str">
        <x:v>Veetrag Computers Private Ltd.</x:v>
      </x:c>
      <x:c r="M20" s="19" t="n">
        <x:v>3</x:v>
      </x:c>
      <x:c r="N20" s="19" t="str">
        <x:v>ACTIVE/RECORDED</x:v>
      </x:c>
      <x:c r="O20" s="19" t="n">
        <x:v>6</x:v>
      </x:c>
      <x:c r="P20" s="19" t="n">
        <x:v>144</x:v>
      </x:c>
      <x:c r="Q20" s="19" t="str">
        <x:v>150-280 V</x:v>
      </x:c>
      <x:c r="R20" s="19" t="n">
        <x:v>0.8</x:v>
      </x:c>
      <x:c r="S20" s="19" t="n">
        <x:v>15</x:v>
      </x:c>
      <x:c r="T20" s="19" t="str"/>
      <x:c r="U20" s="19" t="str">
        <x:v>E2503868, E2503869</x:v>
      </x:c>
      <x:c r="V20" s="19" t="str">
        <x:v>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E2503868,E2503869 ( Including CGST &amp; SGST 18 % ) RENUTRON</x:v>
      </x:c>
    </x:row>
    <x:row r="21" ht="34" customHeight="1">
      <x:c r="A21" s="19" t="str">
        <x:v>BAT0081</x:v>
      </x:c>
      <x:c r="B21" s="19" t="str">
        <x:v>D-10</x:v>
      </x:c>
      <x:c r="C21" s="19" t="str">
        <x:v>PG laboratory-1</x:v>
      </x:c>
      <x:c r="D21" s="19" t="str">
        <x:v>001</x:v>
      </x:c>
      <x:c r="E21" s="19" t="str">
        <x:v>Renutron</x:v>
      </x:c>
      <x:c r="F21" s="19" t="str">
        <x:v>6 KVA Online UPS</x:v>
      </x:c>
      <x:c r="G21" s="28" t="n">
        <x:v>43887</x:v>
      </x:c>
      <x:c r="H21" s="19" t="n">
        <x:v>1</x:v>
      </x:c>
      <x:c r="I21" s="19" t="n">
        <x:v>1</x:v>
      </x:c>
      <x:c r="J21" s="26" t="n">
        <x:v>81000</x:v>
      </x:c>
      <x:c r="K21" s="26" t="n">
        <x:v>81000</x:v>
      </x:c>
      <x:c r="L21" s="19" t="str">
        <x:v>Veetrag Computers Private Ltd.</x:v>
      </x:c>
      <x:c r="M21" s="19" t="n">
        <x:v>3</x:v>
      </x:c>
      <x:c r="N21" s="19" t="str">
        <x:v>TRANSFERRED_IN</x:v>
      </x:c>
      <x:c r="O21" s="19" t="n">
        <x:v>6</x:v>
      </x:c>
      <x:c r="P21" s="19" t="n">
        <x:v>144</x:v>
      </x:c>
      <x:c r="Q21" s="19" t="str">
        <x:v>150-280 V</x:v>
      </x:c>
      <x:c r="R21" s="19" t="n">
        <x:v>0.8</x:v>
      </x:c>
      <x:c r="S21" s="19" t="n">
        <x:v>15</x:v>
      </x:c>
      <x:c r="T21" s="19" t="str"/>
      <x:c r="U21" s="19" t="str">
        <x:v>1710086</x:v>
      </x:c>
      <x:c r="V21" s="19" t="str">
        <x:v>UPS : Renutron 6 KVA Online Capacity: 6 KVA/144 V DC, Pure Sinewave IGBT based PWM technology Dual Micro controller based with LCD Pannel Built in isolation Transformer, IGBT based I/p Power factor conrrected rectifier,O/P Factor 0.8 wider I/P range 150-280 V Heavy Duty Charger 15 AMP , Warrenty: 3Years on Site By RENUTRON Sr. No 1710086 ( Including CGST &amp; SGST 18 % ) Renutron</x:v>
      </x:c>
    </x:row>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V1"/>
  </x:mergeCells>
  <x:pageMargins left="0.7" right="0.7" top="0.75" bottom="0.75" header="0.3" footer="0.3"/>
  <x:tableParts count="1">
    <x:tablePart xmlns:r="http://schemas.openxmlformats.org/officeDocument/2006/relationships" r:id="R32a48ace329a4cfa"/>
  </x:tableParts>
</x:worksheet>
</file>

<file path=xl/worksheets/sheet15.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3" hidden="0" customWidth="1"/>
    <x:col min="5" max="5" width="14" hidden="0" customWidth="1"/>
    <x:col min="6" max="6" width="22" hidden="0" customWidth="1"/>
    <x:col min="7" max="7" width="13" hidden="0" customWidth="1"/>
    <x:col min="8" max="8" width="14"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4" hidden="0" customWidth="1"/>
    <x:col min="16" max="16" width="14" hidden="0" customWidth="1"/>
    <x:col min="17" max="17" width="14" hidden="0" customWidth="1"/>
    <x:col min="18" max="18" width="36" hidden="0" customWidth="1"/>
    <x:col min="19" max="19" width="55" hidden="0" customWidth="1"/>
  </x:cols>
  <x:sheetData>
    <x:row r="1">
      <x:c r="A1" s="5" t="str">
        <x:v>Battery — categorized attributes by purchase batch</x:v>
      </x:c>
    </x:row>
    <x:row r="2">
      <x:c r="A2" s="24" t="str">
        <x:v>Rows: 4</x:v>
      </x:c>
    </x:row>
    <x:row r="4" ht="34" customHeight="1">
      <x:c r="A4" s="18" t="str">
        <x:v>batch_id</x:v>
      </x:c>
      <x:c r="B4" s="18" t="str">
        <x:v>lab_code</x:v>
      </x:c>
      <x:c r="C4" s="18" t="str">
        <x:v>lab_name</x:v>
      </x:c>
      <x:c r="D4" s="18" t="str">
        <x:v>dead_stock_sr_no</x:v>
      </x:c>
      <x:c r="E4" s="18" t="str">
        <x:v>brand</x:v>
      </x:c>
      <x:c r="F4" s="18" t="str">
        <x:v>model_name</x:v>
      </x:c>
      <x:c r="G4" s="18" t="str">
        <x:v>purchase_date</x:v>
      </x:c>
      <x:c r="H4" s="18" t="str">
        <x:v>quantity_current</x:v>
      </x:c>
      <x:c r="I4" s="18" t="str">
        <x:v>quantity_original</x:v>
      </x:c>
      <x:c r="J4" s="18" t="str">
        <x:v>unit_rate</x:v>
      </x:c>
      <x:c r="K4" s="18" t="str">
        <x:v>total_cost</x:v>
      </x:c>
      <x:c r="L4" s="18" t="str">
        <x:v>supplier_name</x:v>
      </x:c>
      <x:c r="M4" s="18" t="str">
        <x:v>warranty_years</x:v>
      </x:c>
      <x:c r="N4" s="18" t="str">
        <x:v>status</x:v>
      </x:c>
      <x:c r="O4" s="18" t="str">
        <x:v>voltage_v</x:v>
      </x:c>
      <x:c r="P4" s="18" t="str">
        <x:v>capacity_ah</x:v>
      </x:c>
      <x:c r="Q4" s="18" t="str">
        <x:v>battery_type</x:v>
      </x:c>
      <x:c r="R4" s="18" t="str">
        <x:v>serial_numbers_raw</x:v>
      </x:c>
      <x:c r="S4" s="18" t="str">
        <x:v>raw_description</x:v>
      </x:c>
    </x:row>
    <x:row r="5" ht="34" customHeight="1">
      <x:c r="A5" s="19" t="str">
        <x:v>BAT0001</x:v>
      </x:c>
      <x:c r="B5" s="19" t="str">
        <x:v>D-01</x:v>
      </x:c>
      <x:c r="C5" s="19" t="str">
        <x:v>Linux Laboratory</x:v>
      </x:c>
      <x:c r="D5" s="19" t="str">
        <x:v>027</x:v>
      </x:c>
      <x:c r="E5" s="19" t="str">
        <x:v>HBL</x:v>
      </x:c>
      <x:c r="F5" s="19" t="str">
        <x:v>12V 80Ah Triumph-HP</x:v>
      </x:c>
      <x:c r="G5" s="28" t="n">
        <x:v>38957</x:v>
      </x:c>
      <x:c r="H5" s="19" t="n">
        <x:v>16</x:v>
      </x:c>
      <x:c r="I5" s="19" t="n">
        <x:v>16</x:v>
      </x:c>
      <x:c r="J5" s="26" t="n">
        <x:v>6999.99</x:v>
      </x:c>
      <x:c r="K5" s="26" t="n">
        <x:v>111999.84</x:v>
      </x:c>
      <x:c r="L5" s="19" t="str">
        <x:v>Prasa Sales P. Ltd.</x:v>
      </x:c>
      <x:c r="M5" s="19"/>
      <x:c r="N5" s="19" t="str">
        <x:v>ACTIVE/RECORDED</x:v>
      </x:c>
      <x:c r="O5" s="19" t="n">
        <x:v>12</x:v>
      </x:c>
      <x:c r="P5" s="19" t="n">
        <x:v>80</x:v>
      </x:c>
      <x:c r="Q5" s="19" t="str"/>
      <x:c r="R5" s="19" t="str"/>
      <x:c r="S5" s="19" t="str">
        <x:v>Battery System For Online UPS (12V, 80 AH HBL (TRIUMPH-HP) ( + 12.5 % VAT) TRIUMPH-HP</x:v>
      </x:c>
    </x:row>
    <x:row r="6" ht="34" customHeight="1">
      <x:c r="A6" s="19" t="str">
        <x:v>BAT0002</x:v>
      </x:c>
      <x:c r="B6" s="19" t="str">
        <x:v>D-08</x:v>
      </x:c>
      <x:c r="C6" s="19" t="str">
        <x:v>Artificial Intelligence &amp; Machine Learning Laboratory</x:v>
      </x:c>
      <x:c r="D6" s="19" t="str">
        <x:v>020</x:v>
      </x:c>
      <x:c r="E6" s="19" t="str">
        <x:v>Quanta</x:v>
      </x:c>
      <x:c r="F6" s="19" t="str">
        <x:v>12V 42Ah SMF</x:v>
      </x:c>
      <x:c r="G6" s="28" t="n">
        <x:v>43887</x:v>
      </x:c>
      <x:c r="H6" s="19" t="n">
        <x:v>18</x:v>
      </x:c>
      <x:c r="I6" s="19" t="n">
        <x:v>18</x:v>
      </x:c>
      <x:c r="J6" s="26" t="n">
        <x:v>4499</x:v>
      </x:c>
      <x:c r="K6" s="26" t="n">
        <x:v>80982</x:v>
      </x:c>
      <x:c r="L6" s="19" t="str">
        <x:v>Veetrag Computers Private Ltd.</x:v>
      </x:c>
      <x:c r="M6" s="19" t="n">
        <x:v>2</x:v>
      </x:c>
      <x:c r="N6" s="19" t="str">
        <x:v>ACTIVE/RECORDED</x:v>
      </x:c>
      <x:c r="O6" s="19" t="n">
        <x:v>12</x:v>
      </x:c>
      <x:c r="P6" s="19" t="n">
        <x:v>42</x:v>
      </x:c>
      <x:c r="Q6" s="19" t="str">
        <x:v>SMF</x:v>
      </x:c>
      <x:c r="R6" s="19" t="str"/>
      <x:c r="S6" s="19" t="str">
        <x:v>Batteries : Quanta make SMF Batteries 12 V, 42 Ah Warranty: 2 Years on site by Renutron ( Including CGST &amp; SGST 28 % ) QUANTA</x:v>
      </x:c>
    </x:row>
    <x:row r="7" ht="34" customHeight="1">
      <x:c r="A7" s="19" t="str">
        <x:v>BAT0003</x:v>
      </x:c>
      <x:c r="B7" s="19" t="str">
        <x:v>D-09</x:v>
      </x:c>
      <x:c r="C7" s="19" t="str">
        <x:v>Apple Education Center Laboratory</x:v>
      </x:c>
      <x:c r="D7" s="19" t="str">
        <x:v>006</x:v>
      </x:c>
      <x:c r="E7" s="19" t="str">
        <x:v>Quanta</x:v>
      </x:c>
      <x:c r="F7" s="19" t="str">
        <x:v>12V 42Ah SMF</x:v>
      </x:c>
      <x:c r="G7" s="28" t="n">
        <x:v>43887</x:v>
      </x:c>
      <x:c r="H7" s="19" t="n">
        <x:v>0</x:v>
      </x:c>
      <x:c r="I7" s="19" t="n">
        <x:v>12</x:v>
      </x:c>
      <x:c r="J7" s="26"/>
      <x:c r="K7" s="26"/>
      <x:c r="L7" s="19" t="str">
        <x:v>Veetrag Computers Private Ltd.</x:v>
      </x:c>
      <x:c r="M7" s="19" t="n">
        <x:v>2</x:v>
      </x:c>
      <x:c r="N7" s="19" t="str">
        <x:v>TRANSFERRED_OUT</x:v>
      </x:c>
      <x:c r="O7" s="19" t="n">
        <x:v>12</x:v>
      </x:c>
      <x:c r="P7" s="19" t="n">
        <x:v>42</x:v>
      </x:c>
      <x:c r="Q7" s="19" t="str"/>
      <x:c r="R7" s="19" t="str"/>
      <x:c r="S7" s="19" t="str">
        <x:v>Battery: Quanta 12 V/42 AH Warranty: 2 Years on site by Renutron ( GST Included 28 %) QUANTA</x:v>
      </x:c>
    </x:row>
    <x:row r="8" ht="34" customHeight="1">
      <x:c r="A8" s="19" t="str">
        <x:v>BAT0004</x:v>
      </x:c>
      <x:c r="B8" s="19" t="str">
        <x:v>D-10</x:v>
      </x:c>
      <x:c r="C8" s="19" t="str">
        <x:v>PG laboratory-1</x:v>
      </x:c>
      <x:c r="D8" s="19" t="str">
        <x:v>002</x:v>
      </x:c>
      <x:c r="E8" s="19" t="str">
        <x:v>Quanta</x:v>
      </x:c>
      <x:c r="F8" s="19" t="str">
        <x:v>12V 42Ah SMF</x:v>
      </x:c>
      <x:c r="G8" s="28" t="n">
        <x:v>43887</x:v>
      </x:c>
      <x:c r="H8" s="19" t="n">
        <x:v>12</x:v>
      </x:c>
      <x:c r="I8" s="19" t="n">
        <x:v>12</x:v>
      </x:c>
      <x:c r="J8" s="26" t="n">
        <x:v>4499</x:v>
      </x:c>
      <x:c r="K8" s="26" t="n">
        <x:v>53988</x:v>
      </x:c>
      <x:c r="L8" s="19" t="str">
        <x:v>Veetrag Computers Private Ltd.</x:v>
      </x:c>
      <x:c r="M8" s="19" t="n">
        <x:v>2</x:v>
      </x:c>
      <x:c r="N8" s="19" t="str">
        <x:v>TRANSFERRED_IN</x:v>
      </x:c>
      <x:c r="O8" s="19" t="n">
        <x:v>12</x:v>
      </x:c>
      <x:c r="P8" s="19" t="n">
        <x:v>42</x:v>
      </x:c>
      <x:c r="Q8" s="19" t="str"/>
      <x:c r="R8" s="19" t="str"/>
      <x:c r="S8" s="19" t="str">
        <x:v>Battery: Quanta 12 V/42 AH Warranty: 2 Years on site by Renutron ( GST Included 28 %) Renutron Quanta</x:v>
      </x:c>
    </x:row>
    <x:row r="9" ht="34" customHeight="1"/>
    <x:row r="10" ht="34" customHeight="1"/>
    <x:row r="11" ht="34" customHeight="1"/>
    <x:row r="12" ht="34" customHeight="1"/>
    <x:row r="13" ht="34" customHeight="1"/>
    <x:row r="14" ht="34" customHeight="1"/>
    <x:row r="15" ht="34" customHeight="1"/>
    <x:row r="16" ht="34" customHeight="1"/>
    <x:row r="17" ht="34" customHeight="1"/>
    <x:row r="18" ht="34" customHeight="1"/>
    <x:row r="19" ht="34" customHeight="1"/>
    <x:row r="20" ht="34" customHeight="1"/>
    <x:row r="21" ht="34" customHeight="1"/>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S1"/>
  </x:mergeCells>
  <x:pageMargins left="0.7" right="0.7" top="0.75" bottom="0.75" header="0.3" footer="0.3"/>
  <x:tableParts count="1">
    <x:tablePart xmlns:r="http://schemas.openxmlformats.org/officeDocument/2006/relationships" r:id="Rfebd2a2661cc4aac"/>
  </x:tableParts>
</x:worksheet>
</file>

<file path=xl/worksheets/sheet16.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3" hidden="0" customWidth="1"/>
    <x:col min="5" max="5" width="14" hidden="0" customWidth="1"/>
    <x:col min="6" max="6" width="22" hidden="0" customWidth="1"/>
    <x:col min="7" max="7" width="13" hidden="0" customWidth="1"/>
    <x:col min="8" max="8" width="14"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4" hidden="0" customWidth="1"/>
    <x:col min="16" max="16" width="14" hidden="0" customWidth="1"/>
    <x:col min="17" max="17" width="36" hidden="0" customWidth="1"/>
    <x:col min="18" max="18" width="55" hidden="0" customWidth="1"/>
  </x:cols>
  <x:sheetData>
    <x:row r="1">
      <x:c r="A1" s="5" t="str">
        <x:v>LCD Projector — categorized attributes by purchase batch</x:v>
      </x:c>
    </x:row>
    <x:row r="2">
      <x:c r="A2" s="24" t="str">
        <x:v>Rows: 13</x:v>
      </x:c>
    </x:row>
    <x:row r="4" ht="34" customHeight="1">
      <x:c r="A4" s="18" t="str">
        <x:v>batch_id</x:v>
      </x:c>
      <x:c r="B4" s="18" t="str">
        <x:v>lab_code</x:v>
      </x:c>
      <x:c r="C4" s="18" t="str">
        <x:v>lab_name</x:v>
      </x:c>
      <x:c r="D4" s="18" t="str">
        <x:v>dead_stock_sr_no</x:v>
      </x:c>
      <x:c r="E4" s="18" t="str">
        <x:v>brand</x:v>
      </x:c>
      <x:c r="F4" s="18" t="str">
        <x:v>model_name</x:v>
      </x:c>
      <x:c r="G4" s="18" t="str">
        <x:v>purchase_date</x:v>
      </x:c>
      <x:c r="H4" s="18" t="str">
        <x:v>quantity_current</x:v>
      </x:c>
      <x:c r="I4" s="18" t="str">
        <x:v>quantity_original</x:v>
      </x:c>
      <x:c r="J4" s="18" t="str">
        <x:v>unit_rate</x:v>
      </x:c>
      <x:c r="K4" s="18" t="str">
        <x:v>total_cost</x:v>
      </x:c>
      <x:c r="L4" s="18" t="str">
        <x:v>supplier_name</x:v>
      </x:c>
      <x:c r="M4" s="18" t="str">
        <x:v>warranty_years</x:v>
      </x:c>
      <x:c r="N4" s="18" t="str">
        <x:v>status</x:v>
      </x:c>
      <x:c r="O4" s="18" t="str">
        <x:v>technology</x:v>
      </x:c>
      <x:c r="P4" s="18" t="str">
        <x:v>brightness_lumens</x:v>
      </x:c>
      <x:c r="Q4" s="18" t="str">
        <x:v>serial_numbers_raw</x:v>
      </x:c>
      <x:c r="R4" s="18" t="str">
        <x:v>raw_description</x:v>
      </x:c>
    </x:row>
    <x:row r="5" ht="34" customHeight="1">
      <x:c r="A5" s="19" t="str">
        <x:v>BAT0041</x:v>
      </x:c>
      <x:c r="B5" s="19" t="str">
        <x:v>D-01</x:v>
      </x:c>
      <x:c r="C5" s="19" t="str">
        <x:v>Linux Laboratory</x:v>
      </x:c>
      <x:c r="D5" s="19" t="str">
        <x:v>040</x:v>
      </x:c>
      <x:c r="E5" s="19" t="str">
        <x:v>Samsung</x:v>
      </x:c>
      <x:c r="F5" s="19" t="str">
        <x:v>Flip 65 2.0 LH65WMRWBGCXXL</x:v>
      </x:c>
      <x:c r="G5" s="28" t="n">
        <x:v>43826</x:v>
      </x:c>
      <x:c r="H5" s="19" t="n">
        <x:v>1</x:v>
      </x:c>
      <x:c r="I5" s="19" t="n">
        <x:v>1</x:v>
      </x:c>
      <x:c r="J5" s="26" t="n">
        <x:v>118060</x:v>
      </x:c>
      <x:c r="K5" s="26" t="n">
        <x:v>118060</x:v>
      </x:c>
      <x:c r="L5" s="19" t="str">
        <x:v>Hitachi System Micro Clinic Pvt. Ltd.</x:v>
      </x:c>
      <x:c r="M5" s="19" t="n">
        <x:v>3</x:v>
      </x:c>
      <x:c r="N5" s="19" t="str">
        <x:v>ACTIVE/RECORDED</x:v>
      </x:c>
      <x:c r="O5" s="19" t="str"/>
      <x:c r="P5" s="19"/>
      <x:c r="Q5" s="19" t="str"/>
      <x:c r="R5" s="19" t="str">
        <x:v>Digital Board: Samsung LH65WMRWBGCXXL Flip 65"2.0 with 3 Year warranty Intractive Digital Board Including Fixing and setting uo the equipment wall mounting with at the institute, Configuring all the software associated with IT and D Link 10 Mtr Patch cord cable Samsung</x:v>
      </x:c>
    </x:row>
    <x:row r="6" ht="34" customHeight="1">
      <x:c r="A6" s="19" t="str">
        <x:v>BAT0042</x:v>
      </x:c>
      <x:c r="B6" s="19" t="str">
        <x:v>D-02</x:v>
      </x:c>
      <x:c r="C6" s="19" t="str">
        <x:v>Database Laboratory</x:v>
      </x:c>
      <x:c r="D6" s="19" t="str">
        <x:v>036</x:v>
      </x:c>
      <x:c r="E6" s="19" t="str">
        <x:v>Epson</x:v>
      </x:c>
      <x:c r="F6" s="19" t="str">
        <x:v>EB-E01 V11H971056</x:v>
      </x:c>
      <x:c r="G6" s="28" t="n">
        <x:v>44581</x:v>
      </x:c>
      <x:c r="H6" s="19" t="n">
        <x:v>1</x:v>
      </x:c>
      <x:c r="I6" s="19" t="n">
        <x:v>1</x:v>
      </x:c>
      <x:c r="J6" s="26" t="n">
        <x:v>32500</x:v>
      </x:c>
      <x:c r="K6" s="26" t="n">
        <x:v>32500</x:v>
      </x:c>
      <x:c r="L6" s="19" t="str">
        <x:v>Veetrag Computers Private Ltd.</x:v>
      </x:c>
      <x:c r="M6" s="19"/>
      <x:c r="N6" s="19" t="str">
        <x:v>ACTIVE/RECORDED</x:v>
      </x:c>
      <x:c r="O6" s="19" t="str">
        <x:v>3LCD</x:v>
      </x:c>
      <x:c r="P6" s="19" t="n">
        <x:v>3300</x:v>
      </x:c>
      <x:c r="Q6" s="19" t="str">
        <x:v>X88Z1900870</x:v>
      </x:c>
      <x:c r="R6" s="19" t="str">
        <x:v>Projector: Epson EB-E01 -V11H971056 3 LCD Technology and 3,300 Lumens Warranty 24 Months for projector and 12 Month or 1,000 hours for lamp Sr. No.X88Z1900870 ( GST28% Included) Epson</x:v>
      </x:c>
    </x:row>
    <x:row r="7" ht="34" customHeight="1">
      <x:c r="A7" s="19" t="str">
        <x:v>BAT0043</x:v>
      </x:c>
      <x:c r="B7" s="19" t="str">
        <x:v>D-02</x:v>
      </x:c>
      <x:c r="C7" s="19" t="str">
        <x:v>Database Laboratory</x:v>
      </x:c>
      <x:c r="D7" s="19" t="str">
        <x:v>038</x:v>
      </x:c>
      <x:c r="E7" s="19" t="str">
        <x:v>Epson</x:v>
      </x:c>
      <x:c r="F7" s="19" t="str">
        <x:v>EB-E01 V11H971056</x:v>
      </x:c>
      <x:c r="G7" s="28" t="n">
        <x:v>44893</x:v>
      </x:c>
      <x:c r="H7" s="19" t="n">
        <x:v>1</x:v>
      </x:c>
      <x:c r="I7" s="19" t="n">
        <x:v>1</x:v>
      </x:c>
      <x:c r="J7" s="26" t="n">
        <x:v>32499</x:v>
      </x:c>
      <x:c r="K7" s="26" t="n">
        <x:v>32499</x:v>
      </x:c>
      <x:c r="L7" s="19" t="str">
        <x:v>Veetrag Computers Private Ltd.</x:v>
      </x:c>
      <x:c r="M7" s="19"/>
      <x:c r="N7" s="19" t="str">
        <x:v>ACTIVE/RECORDED</x:v>
      </x:c>
      <x:c r="O7" s="19" t="str">
        <x:v>3LCD</x:v>
      </x:c>
      <x:c r="P7" s="19" t="n">
        <x:v>3300</x:v>
      </x:c>
      <x:c r="Q7" s="19" t="str">
        <x:v>X88Z1900870</x:v>
      </x:c>
      <x:c r="R7" s="19" t="str">
        <x:v>Epson EB-E01 -V11H971056 3 LCD Technology and 3,300 Lumens Warranty 24 Months for projector and 12 Month or 1,000 hours for lamp Sr. No.X88Z1900870 ( GST28% Included) Epson</x:v>
      </x:c>
    </x:row>
    <x:row r="8" ht="34" customHeight="1">
      <x:c r="A8" s="19" t="str">
        <x:v>BAT0044</x:v>
      </x:c>
      <x:c r="B8" s="19" t="str">
        <x:v>D-03</x:v>
      </x:c>
      <x:c r="C8" s="19" t="str">
        <x:v>Project Laboratory</x:v>
      </x:c>
      <x:c r="D8" s="19" t="str">
        <x:v>038</x:v>
      </x:c>
      <x:c r="E8" s="19" t="str">
        <x:v>Epson</x:v>
      </x:c>
      <x:c r="F8" s="19" t="str">
        <x:v>EB-X03</x:v>
      </x:c>
      <x:c r="G8" s="28" t="n">
        <x:v>41944</x:v>
      </x:c>
      <x:c r="H8" s="19" t="n">
        <x:v>1</x:v>
      </x:c>
      <x:c r="I8" s="19" t="n">
        <x:v>1</x:v>
      </x:c>
      <x:c r="J8" s="26" t="n">
        <x:v>30800</x:v>
      </x:c>
      <x:c r="K8" s="26" t="n">
        <x:v>30800</x:v>
      </x:c>
      <x:c r="L8" s="19" t="str">
        <x:v>Veetrag Computers Private Ltd.</x:v>
      </x:c>
      <x:c r="M8" s="19" t="n">
        <x:v>2</x:v>
      </x:c>
      <x:c r="N8" s="19" t="str">
        <x:v>ACTIVE/RECORDED</x:v>
      </x:c>
      <x:c r="O8" s="19" t="str"/>
      <x:c r="P8" s="19"/>
      <x:c r="Q8" s="19" t="str"/>
      <x:c r="R8" s="19" t="str">
        <x:v>Projector : Projector Epson EB X03 2 Years Warranty for projector 1 Year or 1000 Hours Warranty for Bulb ( 12.50 % VAT) Epson</x:v>
      </x:c>
    </x:row>
    <x:row r="9" ht="34" customHeight="1">
      <x:c r="A9" s="19" t="str">
        <x:v>BAT0045</x:v>
      </x:c>
      <x:c r="B9" s="19" t="str">
        <x:v>D-03</x:v>
      </x:c>
      <x:c r="C9" s="19" t="str">
        <x:v>Project Laboratory</x:v>
      </x:c>
      <x:c r="D9" s="19" t="str">
        <x:v>051</x:v>
      </x:c>
      <x:c r="E9" s="19" t="str">
        <x:v>Epson</x:v>
      </x:c>
      <x:c r="F9" s="19" t="str">
        <x:v>EB-E01 V11H971056</x:v>
      </x:c>
      <x:c r="G9" s="28" t="n">
        <x:v>44893</x:v>
      </x:c>
      <x:c r="H9" s="19" t="n">
        <x:v>1</x:v>
      </x:c>
      <x:c r="I9" s="19" t="n">
        <x:v>1</x:v>
      </x:c>
      <x:c r="J9" s="26" t="n">
        <x:v>32499</x:v>
      </x:c>
      <x:c r="K9" s="26" t="n">
        <x:v>32499</x:v>
      </x:c>
      <x:c r="L9" s="19" t="str">
        <x:v>Veetrag Computers Private Ltd.</x:v>
      </x:c>
      <x:c r="M9" s="19"/>
      <x:c r="N9" s="19" t="str">
        <x:v>ACTIVE/RECORDED</x:v>
      </x:c>
      <x:c r="O9" s="19" t="str">
        <x:v>3LCD</x:v>
      </x:c>
      <x:c r="P9" s="19" t="n">
        <x:v>3300</x:v>
      </x:c>
      <x:c r="Q9" s="19" t="str">
        <x:v>X88Z1900870</x:v>
      </x:c>
      <x:c r="R9" s="19" t="str">
        <x:v>Epson EB-E01 -V11H971056 3 LCD Technology and 3,300 Lumens Warranty 24 Months for projector and 12 Month or 1,000 hours for lamp Sr. No.X88Z1900870 ( GST28% Included) ePSON</x:v>
      </x:c>
    </x:row>
    <x:row r="10" ht="34" customHeight="1">
      <x:c r="A10" s="19" t="str">
        <x:v>BAT0046</x:v>
      </x:c>
      <x:c r="B10" s="19" t="str">
        <x:v>D-04</x:v>
      </x:c>
      <x:c r="C10" s="19" t="str">
        <x:v>Application Development Tool Laboratory</x:v>
      </x:c>
      <x:c r="D10" s="19" t="str">
        <x:v>022</x:v>
      </x:c>
      <x:c r="E10" s="19" t="str">
        <x:v>Epson</x:v>
      </x:c>
      <x:c r="F10" s="19" t="str">
        <x:v>EB-X12</x:v>
      </x:c>
      <x:c r="G10" s="28" t="n">
        <x:v>41304</x:v>
      </x:c>
      <x:c r="H10" s="19" t="n">
        <x:v>1</x:v>
      </x:c>
      <x:c r="I10" s="19" t="n">
        <x:v>1</x:v>
      </x:c>
      <x:c r="J10" s="26" t="n">
        <x:v>32600</x:v>
      </x:c>
      <x:c r="K10" s="26" t="n">
        <x:v>32600</x:v>
      </x:c>
      <x:c r="L10" s="19" t="str">
        <x:v>Veetrag Computers Private Ltd.</x:v>
      </x:c>
      <x:c r="M10" s="19" t="n">
        <x:v>2</x:v>
      </x:c>
      <x:c r="N10" s="19" t="str">
        <x:v>ACTIVE/RECORDED</x:v>
      </x:c>
      <x:c r="O10" s="19" t="str"/>
      <x:c r="P10" s="19"/>
      <x:c r="Q10" s="19" t="str"/>
      <x:c r="R10" s="19" t="str">
        <x:v>Projector: EPSON EB X12 Sr. No. 2 Year Warranty for projector, 1 Year or 500 Hours Warranty for Bulb whichever is earlier. Out put VAT 12.5 % Epson EBX12</x:v>
      </x:c>
    </x:row>
    <x:row r="11" ht="34" customHeight="1">
      <x:c r="A11" s="19" t="str">
        <x:v>BAT0047</x:v>
      </x:c>
      <x:c r="B11" s="19" t="str">
        <x:v>D-04</x:v>
      </x:c>
      <x:c r="C11" s="19" t="str">
        <x:v>Application Development Tool Laboratory</x:v>
      </x:c>
      <x:c r="D11" s="19" t="str">
        <x:v>024</x:v>
      </x:c>
      <x:c r="E11" s="19" t="str">
        <x:v>Epson</x:v>
      </x:c>
      <x:c r="F11" s="19" t="str">
        <x:v>EB-X03</x:v>
      </x:c>
      <x:c r="G11" s="28" t="n">
        <x:v>41944</x:v>
      </x:c>
      <x:c r="H11" s="19" t="n">
        <x:v>1</x:v>
      </x:c>
      <x:c r="I11" s="19" t="n">
        <x:v>1</x:v>
      </x:c>
      <x:c r="J11" s="26" t="n">
        <x:v>30800</x:v>
      </x:c>
      <x:c r="K11" s="26" t="n">
        <x:v>30800</x:v>
      </x:c>
      <x:c r="L11" s="19" t="str">
        <x:v>Veetrag Computers Private Ltd.</x:v>
      </x:c>
      <x:c r="M11" s="19" t="n">
        <x:v>2</x:v>
      </x:c>
      <x:c r="N11" s="19" t="str">
        <x:v>ACTIVE/RECORDED</x:v>
      </x:c>
      <x:c r="O11" s="19" t="str"/>
      <x:c r="P11" s="19"/>
      <x:c r="Q11" s="19" t="str"/>
      <x:c r="R11" s="19" t="str">
        <x:v>Projector Epson EB X03 2 Years Warranty for projector 1 Year or 1000 Hours Warranty for Bulb ( 12.50 % VAT) Epson EBX03</x:v>
      </x:c>
    </x:row>
    <x:row r="12" ht="34" customHeight="1">
      <x:c r="A12" s="19" t="str">
        <x:v>BAT0048</x:v>
      </x:c>
      <x:c r="B12" s="19" t="str">
        <x:v>D-04</x:v>
      </x:c>
      <x:c r="C12" s="19" t="str">
        <x:v>Application Development Tool Laboratory</x:v>
      </x:c>
      <x:c r="D12" s="19" t="str">
        <x:v>031</x:v>
      </x:c>
      <x:c r="E12" s="19" t="str">
        <x:v>Epson</x:v>
      </x:c>
      <x:c r="F12" s="19" t="str">
        <x:v>EB-X05 V11H839056</x:v>
      </x:c>
      <x:c r="G12" s="28" t="n">
        <x:v>43888</x:v>
      </x:c>
      <x:c r="H12" s="19" t="n">
        <x:v>1</x:v>
      </x:c>
      <x:c r="I12" s="19" t="n">
        <x:v>1</x:v>
      </x:c>
      <x:c r="J12" s="26" t="n">
        <x:v>33500</x:v>
      </x:c>
      <x:c r="K12" s="26" t="n">
        <x:v>33500</x:v>
      </x:c>
      <x:c r="L12" s="19" t="str">
        <x:v>Veetrag Computers Private Ltd.</x:v>
      </x:c>
      <x:c r="M12" s="19" t="n">
        <x:v>2</x:v>
      </x:c>
      <x:c r="N12" s="19" t="str">
        <x:v>ACTIVE/RECORDED</x:v>
      </x:c>
      <x:c r="O12" s="19" t="str"/>
      <x:c r="P12" s="19"/>
      <x:c r="Q12" s="19" t="str"/>
      <x:c r="R12" s="19" t="str">
        <x:v>Projector: Epson EB-X05-V11H839056 Warranty: 2 Years onsite Service for Projector &amp; 1 year Or 1000 Hours- Whichever Comes First, By EPSON( GST Included 28 %) EPSON</x:v>
      </x:c>
    </x:row>
    <x:row r="13" ht="34" customHeight="1">
      <x:c r="A13" s="19" t="str">
        <x:v>BAT0049</x:v>
      </x:c>
      <x:c r="B13" s="19" t="str">
        <x:v>D-05</x:v>
      </x:c>
      <x:c r="C13" s="19" t="str">
        <x:v>Operating System Laboratory</x:v>
      </x:c>
      <x:c r="D13" s="19" t="str">
        <x:v>023</x:v>
      </x:c>
      <x:c r="E13" s="19" t="str">
        <x:v>Epson</x:v>
      </x:c>
      <x:c r="F13" s="19" t="str">
        <x:v>EB-X12</x:v>
      </x:c>
      <x:c r="G13" s="28" t="n">
        <x:v>41304</x:v>
      </x:c>
      <x:c r="H13" s="19" t="n">
        <x:v>1</x:v>
      </x:c>
      <x:c r="I13" s="19" t="n">
        <x:v>1</x:v>
      </x:c>
      <x:c r="J13" s="26" t="n">
        <x:v>32600</x:v>
      </x:c>
      <x:c r="K13" s="26" t="n">
        <x:v>32600</x:v>
      </x:c>
      <x:c r="L13" s="19" t="str">
        <x:v>Veetrag Computers Private Ltd.</x:v>
      </x:c>
      <x:c r="M13" s="19" t="n">
        <x:v>2</x:v>
      </x:c>
      <x:c r="N13" s="19" t="str">
        <x:v>ACTIVE/RECORDED</x:v>
      </x:c>
      <x:c r="O13" s="19" t="str"/>
      <x:c r="P13" s="19"/>
      <x:c r="Q13" s="19" t="str"/>
      <x:c r="R13" s="19" t="str">
        <x:v>EPSON EB X12 Sr. No. 2 Year Warranty for projector, 1 Year or 500 Hours Warranty for Bulb whichever is earlier. (Including Out put VAT @12.5 %) Epson</x:v>
      </x:c>
    </x:row>
    <x:row r="14" ht="34" customHeight="1">
      <x:c r="A14" s="19" t="str">
        <x:v>BAT0050</x:v>
      </x:c>
      <x:c r="B14" s="19" t="str">
        <x:v>D-06</x:v>
      </x:c>
      <x:c r="C14" s="19" t="str">
        <x:v>Web Development Tool Lab</x:v>
      </x:c>
      <x:c r="D14" s="19" t="str">
        <x:v>039</x:v>
      </x:c>
      <x:c r="E14" s="19" t="str">
        <x:v>Epson</x:v>
      </x:c>
      <x:c r="F14" s="19" t="str">
        <x:v>EB-E01 V11H971056</x:v>
      </x:c>
      <x:c r="G14" s="28" t="n">
        <x:v>44581</x:v>
      </x:c>
      <x:c r="H14" s="19" t="n">
        <x:v>1</x:v>
      </x:c>
      <x:c r="I14" s="19" t="n">
        <x:v>1</x:v>
      </x:c>
      <x:c r="J14" s="26" t="n">
        <x:v>32500</x:v>
      </x:c>
      <x:c r="K14" s="26" t="n">
        <x:v>32500</x:v>
      </x:c>
      <x:c r="L14" s="19" t="str">
        <x:v>Veetrag Computers Private Ltd.</x:v>
      </x:c>
      <x:c r="M14" s="19"/>
      <x:c r="N14" s="19" t="str">
        <x:v>ACTIVE/RECORDED</x:v>
      </x:c>
      <x:c r="O14" s="19" t="str">
        <x:v>3LCD</x:v>
      </x:c>
      <x:c r="P14" s="19" t="n">
        <x:v>3300</x:v>
      </x:c>
      <x:c r="Q14" s="19" t="str"/>
      <x:c r="R14" s="19" t="str">
        <x:v>Projector: Epson EB-E01 -V11H971056 3 LCD Technology and 3,300 Lumens Warranty 24 Months for projector and 12 Month or 1,000 hours for lamp Sr. No.( GST28% Included)</x:v>
      </x:c>
    </x:row>
    <x:row r="15" ht="34" customHeight="1">
      <x:c r="A15" s="19" t="str">
        <x:v>BAT0051</x:v>
      </x:c>
      <x:c r="B15" s="19" t="str">
        <x:v>D-07</x:v>
      </x:c>
      <x:c r="C15" s="19" t="str">
        <x:v>Network Laboratory</x:v>
      </x:c>
      <x:c r="D15" s="19" t="str">
        <x:v>002</x:v>
      </x:c>
      <x:c r="E15" s="19" t="str">
        <x:v>Epson</x:v>
      </x:c>
      <x:c r="F15" s="19" t="str">
        <x:v>EB-X10</x:v>
      </x:c>
      <x:c r="G15" s="28" t="n">
        <x:v>40927</x:v>
      </x:c>
      <x:c r="H15" s="19" t="n">
        <x:v>1</x:v>
      </x:c>
      <x:c r="I15" s="19" t="n">
        <x:v>1</x:v>
      </x:c>
      <x:c r="J15" s="26" t="n">
        <x:v>33187</x:v>
      </x:c>
      <x:c r="K15" s="26" t="n">
        <x:v>33187</x:v>
      </x:c>
      <x:c r="L15" s="19" t="str">
        <x:v>Veetrag Computers Private Ltd.</x:v>
      </x:c>
      <x:c r="M15" s="19" t="n">
        <x:v>2</x:v>
      </x:c>
      <x:c r="N15" s="19" t="str">
        <x:v>OK</x:v>
      </x:c>
      <x:c r="O15" s="19" t="str"/>
      <x:c r="P15" s="19"/>
      <x:c r="Q15" s="19" t="str"/>
      <x:c r="R15" s="19" t="str">
        <x:v>Epson EB X 10, 2 Year Warranty for Projector, 1 Year Warranty for Bulb Out put VAT 12.5 % Included) EPSON</x:v>
      </x:c>
    </x:row>
    <x:row r="16" ht="34" customHeight="1">
      <x:c r="A16" s="19" t="str">
        <x:v>BAT0052</x:v>
      </x:c>
      <x:c r="B16" s="19" t="str">
        <x:v>D-08</x:v>
      </x:c>
      <x:c r="C16" s="19" t="str">
        <x:v>Artificial Intelligence &amp; Machine Learning Laboratory</x:v>
      </x:c>
      <x:c r="D16" s="19" t="str">
        <x:v>023</x:v>
      </x:c>
      <x:c r="E16" s="19" t="str">
        <x:v>Epson</x:v>
      </x:c>
      <x:c r="F16" s="19" t="str">
        <x:v>EB-E01 V11H971056</x:v>
      </x:c>
      <x:c r="G16" s="28" t="n">
        <x:v>45309</x:v>
      </x:c>
      <x:c r="H16" s="19" t="n">
        <x:v>1</x:v>
      </x:c>
      <x:c r="I16" s="19" t="n">
        <x:v>1</x:v>
      </x:c>
      <x:c r="J16" s="26" t="n">
        <x:v>31853</x:v>
      </x:c>
      <x:c r="K16" s="26" t="n">
        <x:v>31853</x:v>
      </x:c>
      <x:c r="L16" s="19" t="str">
        <x:v>Veetrag Computers Private Ltd.</x:v>
      </x:c>
      <x:c r="M16" s="19"/>
      <x:c r="N16" s="19" t="str">
        <x:v>ACTIVE/RECORDED</x:v>
      </x:c>
      <x:c r="O16" s="19" t="str">
        <x:v>3LCD</x:v>
      </x:c>
      <x:c r="P16" s="19" t="n">
        <x:v>3300</x:v>
      </x:c>
      <x:c r="Q16" s="19" t="str">
        <x:v>X88Z3X07010</x:v>
      </x:c>
      <x:c r="R16" s="19" t="str">
        <x:v>Epson EB-E01 V11H971056 3LCD Technology and 3300 lumens Warranty 36 months for Projector and 12 Months or 1000 hours for Lamp, Sr. No. X88z3x07010 (GST 28% Included) Epson</x:v>
      </x:c>
    </x:row>
    <x:row r="17" ht="34" customHeight="1">
      <x:c r="A17" s="19" t="str">
        <x:v>BAT0053</x:v>
      </x:c>
      <x:c r="B17" s="19" t="str">
        <x:v>D-11</x:v>
      </x:c>
      <x:c r="C17" s="19" t="str">
        <x:v>PG laboratory-2</x:v>
      </x:c>
      <x:c r="D17" s="19" t="str">
        <x:v>002</x:v>
      </x:c>
      <x:c r="E17" s="19" t="str">
        <x:v>Epson</x:v>
      </x:c>
      <x:c r="F17" s="19" t="str">
        <x:v>EB-E01 V11H971056</x:v>
      </x:c>
      <x:c r="G17" s="28" t="n">
        <x:v>44583</x:v>
      </x:c>
      <x:c r="H17" s="19" t="n">
        <x:v>1</x:v>
      </x:c>
      <x:c r="I17" s="19" t="n">
        <x:v>1</x:v>
      </x:c>
      <x:c r="J17" s="26" t="n">
        <x:v>32500</x:v>
      </x:c>
      <x:c r="K17" s="26" t="n">
        <x:v>32500</x:v>
      </x:c>
      <x:c r="L17" s="19" t="str">
        <x:v>Veetrag Computers Private Ltd.</x:v>
      </x:c>
      <x:c r="M17" s="19"/>
      <x:c r="N17" s="19" t="str">
        <x:v>ACTIVE/RECORDED</x:v>
      </x:c>
      <x:c r="O17" s="19" t="str">
        <x:v>3LCD</x:v>
      </x:c>
      <x:c r="P17" s="19" t="n">
        <x:v>3300</x:v>
      </x:c>
      <x:c r="Q17" s="19" t="str"/>
      <x:c r="R17" s="19" t="str">
        <x:v>Projector Epson EB-E01-V11H971056 3LCD Technology and 3300 lumens warranry 24month for projector and 12 months or 1000 hours for lamp Sr X88Z1900870X88Z1Y00227X88Z1Y00050 EPSON</x:v>
      </x:c>
    </x:row>
    <x:row r="18" ht="34" customHeight="1"/>
    <x:row r="19" ht="34" customHeight="1"/>
    <x:row r="20" ht="34" customHeight="1"/>
    <x:row r="21" ht="34" customHeight="1"/>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R1"/>
  </x:mergeCells>
  <x:pageMargins left="0.7" right="0.7" top="0.75" bottom="0.75" header="0.3" footer="0.3"/>
  <x:tableParts count="1">
    <x:tablePart xmlns:r="http://schemas.openxmlformats.org/officeDocument/2006/relationships" r:id="Rda51da81be704fc6"/>
  </x:tableParts>
</x:worksheet>
</file>

<file path=xl/worksheets/sheet17.xml><?xml version="1.0" encoding="utf-8"?>
<x:worksheet xmlns:x="http://schemas.openxmlformats.org/spreadsheetml/2006/main">
  <x:sheetFormatPr defaultRowHeight="15"/>
  <x:cols>
    <x:col min="1" max="1" width="13" hidden="0" customWidth="1"/>
    <x:col min="2" max="2" width="13" hidden="0" customWidth="1"/>
    <x:col min="3" max="3" width="22" hidden="0" customWidth="1"/>
    <x:col min="4" max="4" width="13" hidden="0" customWidth="1"/>
    <x:col min="5" max="5" width="14" hidden="0" customWidth="1"/>
    <x:col min="6" max="6" width="22" hidden="0" customWidth="1"/>
    <x:col min="7" max="7" width="13" hidden="0" customWidth="1"/>
    <x:col min="8" max="8" width="14"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4" hidden="0" customWidth="1"/>
    <x:col min="16" max="16" width="14" hidden="0" customWidth="1"/>
    <x:col min="17" max="17" width="13"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36" hidden="0" customWidth="1"/>
    <x:col min="28" max="28" width="55" hidden="0" customWidth="1"/>
  </x:cols>
  <x:sheetData>
    <x:row r="1">
      <x:c r="A1" s="5" t="str">
        <x:v>Interactive Panel — categorized attributes by purchase batch</x:v>
      </x:c>
    </x:row>
    <x:row r="2">
      <x:c r="A2" s="24" t="str">
        <x:v>Rows: 2</x:v>
      </x:c>
    </x:row>
    <x:row r="4" ht="34" customHeight="1">
      <x:c r="A4" s="18" t="str">
        <x:v>batch_id</x:v>
      </x:c>
      <x:c r="B4" s="18" t="str">
        <x:v>lab_code</x:v>
      </x:c>
      <x:c r="C4" s="18" t="str">
        <x:v>lab_name</x:v>
      </x:c>
      <x:c r="D4" s="18" t="str">
        <x:v>dead_stock_sr_no</x:v>
      </x:c>
      <x:c r="E4" s="18" t="str">
        <x:v>brand</x:v>
      </x:c>
      <x:c r="F4" s="18" t="str">
        <x:v>model_name</x:v>
      </x:c>
      <x:c r="G4" s="18" t="str">
        <x:v>purchase_date</x:v>
      </x:c>
      <x:c r="H4" s="18" t="str">
        <x:v>quantity_current</x:v>
      </x:c>
      <x:c r="I4" s="18" t="str">
        <x:v>quantity_original</x:v>
      </x:c>
      <x:c r="J4" s="18" t="str">
        <x:v>unit_rate</x:v>
      </x:c>
      <x:c r="K4" s="18" t="str">
        <x:v>total_cost</x:v>
      </x:c>
      <x:c r="L4" s="18" t="str">
        <x:v>supplier_name</x:v>
      </x:c>
      <x:c r="M4" s="18" t="str">
        <x:v>warranty_years</x:v>
      </x:c>
      <x:c r="N4" s="18" t="str">
        <x:v>status</x:v>
      </x:c>
      <x:c r="O4" s="18" t="str">
        <x:v>screen_size_in</x:v>
      </x:c>
      <x:c r="P4" s="18" t="str">
        <x:v>resolution</x:v>
      </x:c>
      <x:c r="Q4" s="18" t="str">
        <x:v>android_version</x:v>
      </x:c>
      <x:c r="R4" s="18" t="str">
        <x:v>ram_gb</x:v>
      </x:c>
      <x:c r="S4" s="18" t="str">
        <x:v>storage</x:v>
      </x:c>
      <x:c r="T4" s="18" t="str">
        <x:v>touch_points</x:v>
      </x:c>
      <x:c r="U4" s="18" t="str">
        <x:v>touch_accuracy_mm</x:v>
      </x:c>
      <x:c r="V4" s="18" t="str">
        <x:v>type_c_power_w</x:v>
      </x:c>
      <x:c r="W4" s="18" t="str">
        <x:v>pc_processor</x:v>
      </x:c>
      <x:c r="X4" s="18" t="str">
        <x:v>pc_ram_gb</x:v>
      </x:c>
      <x:c r="Y4" s="18" t="str">
        <x:v>pc_storage</x:v>
      </x:c>
      <x:c r="Z4" s="18" t="str">
        <x:v>pc_operating_system</x:v>
      </x:c>
      <x:c r="AA4" s="18" t="str">
        <x:v>serial_numbers_raw</x:v>
      </x:c>
      <x:c r="AB4" s="18" t="str">
        <x:v>raw_description</x:v>
      </x:c>
    </x:row>
    <x:row r="5" ht="34" customHeight="1">
      <x:c r="A5" s="19" t="str">
        <x:v>BAT0033</x:v>
      </x:c>
      <x:c r="B5" s="19" t="str">
        <x:v>D-09</x:v>
      </x:c>
      <x:c r="C5" s="19" t="str">
        <x:v>Apple Education Center Laboratory</x:v>
      </x:c>
      <x:c r="D5" s="19" t="str">
        <x:v>014</x:v>
      </x:c>
      <x:c r="E5" s="19" t="str">
        <x:v>BenQ</x:v>
      </x:c>
      <x:c r="F5" s="19" t="str">
        <x:v>RE7504 75-inch</x:v>
      </x:c>
      <x:c r="G5" s="28" t="n">
        <x:v>45742</x:v>
      </x:c>
      <x:c r="H5" s="19" t="n">
        <x:v>1</x:v>
      </x:c>
      <x:c r="I5" s="19" t="n">
        <x:v>1</x:v>
      </x:c>
      <x:c r="J5" s="26" t="n">
        <x:v>122130</x:v>
      </x:c>
      <x:c r="K5" s="26" t="n">
        <x:v>122130</x:v>
      </x:c>
      <x:c r="L5" s="19" t="str">
        <x:v>Veetrag Computers Private Ltd.</x:v>
      </x:c>
      <x:c r="M5" s="19" t="n">
        <x:v>3</x:v>
      </x:c>
      <x:c r="N5" s="19" t="str">
        <x:v>ACTIVE/RECORDED</x:v>
      </x:c>
      <x:c r="O5" s="19" t="n">
        <x:v>75</x:v>
      </x:c>
      <x:c r="P5" s="19" t="str">
        <x:v>4K</x:v>
      </x:c>
      <x:c r="Q5" s="19" t="str">
        <x:v>13.0</x:v>
      </x:c>
      <x:c r="R5" s="19" t="n">
        <x:v>8</x:v>
      </x:c>
      <x:c r="S5" s="19" t="str">
        <x:v>64 GB</x:v>
      </x:c>
      <x:c r="T5" s="19" t="n">
        <x:v>40</x:v>
      </x:c>
      <x:c r="U5" s="19" t="n">
        <x:v>1</x:v>
      </x:c>
      <x:c r="V5" s="19" t="n">
        <x:v>65</x:v>
      </x:c>
      <x:c r="W5" s="19" t="str"/>
      <x:c r="X5" s="19" t="n">
        <x:v>8</x:v>
      </x:c>
      <x:c r="Y5" s="19" t="str"/>
      <x:c r="Z5" s="19" t="str"/>
      <x:c r="AA5" s="19" t="str">
        <x:v>EIK8R0016805X</x:v>
      </x:c>
      <x:c r="AB5" s="19" t="str">
        <x:v>BenQ Interactive Flat Panel 75" - RE7504-4k-64GB Hardware Specification: 75"IFP Resolution EDLA Certifies Google Play Store official Google Services Android 13.0, 8GB RAM, 64 GB, Octacore98Core) processor-CPU/GPU-A73X4 +A53X4 G52 MP8/20W*2 Speaker, Type C Port 65 W, Split Screen Option, Memory Card Slot Touch Accuracy1.0 mm, 40 Touch Tech Precision IT Tech with Zero Bonding Technology Warranty- 3 Year NBD on site Services by BenQ Sr. No. Eik8R0016805X (18 % GST Included) BenQ</x:v>
      </x:c>
    </x:row>
    <x:row r="6" ht="34" customHeight="1">
      <x:c r="A6" s="19" t="str">
        <x:v>BAT0034</x:v>
      </x:c>
      <x:c r="B6" s="19" t="str">
        <x:v>D-09</x:v>
      </x:c>
      <x:c r="C6" s="19" t="str">
        <x:v>Apple Education Center Laboratory</x:v>
      </x:c>
      <x:c r="D6" s="19" t="str">
        <x:v>015</x:v>
      </x:c>
      <x:c r="E6" s="19" t="str"/>
      <x:c r="F6" s="19" t="str">
        <x:v>OPS PC - Core i5 12th Gen</x:v>
      </x:c>
      <x:c r="G6" s="28" t="n">
        <x:v>45742</x:v>
      </x:c>
      <x:c r="H6" s="19" t="n">
        <x:v>1</x:v>
      </x:c>
      <x:c r="I6" s="19" t="n">
        <x:v>1</x:v>
      </x:c>
      <x:c r="J6" s="26" t="n">
        <x:v>31270</x:v>
      </x:c>
      <x:c r="K6" s="26" t="n">
        <x:v>31270</x:v>
      </x:c>
      <x:c r="L6" s="19" t="str">
        <x:v>Veetrag Computers Private Ltd.</x:v>
      </x:c>
      <x:c r="M6" s="19" t="n">
        <x:v>3</x:v>
      </x:c>
      <x:c r="N6" s="19" t="str">
        <x:v>ACTIVE/RECORDED</x:v>
      </x:c>
      <x:c r="O6" s="19"/>
      <x:c r="P6" s="19" t="str"/>
      <x:c r="Q6" s="19" t="str"/>
      <x:c r="R6" s="19" t="n">
        <x:v>8</x:v>
      </x:c>
      <x:c r="S6" s="19" t="str">
        <x:v>512 SSD</x:v>
      </x:c>
      <x:c r="T6" s="19"/>
      <x:c r="U6" s="19"/>
      <x:c r="V6" s="19"/>
      <x:c r="W6" s="19" t="str"/>
      <x:c r="X6" s="19" t="n">
        <x:v>8</x:v>
      </x:c>
      <x:c r="Y6" s="19" t="str">
        <x:v>512 GB SSD</x:v>
      </x:c>
      <x:c r="Z6" s="19" t="str"/>
      <x:c r="AA6" s="19" t="str">
        <x:v>P20241213180</x:v>
      </x:c>
      <x:c r="AB6" s="19" t="str">
        <x:v>(Ci5/12th Generation /8GB/512GB SSD/WIN 11/3Yrs) Intel Core Ci5, 12Th Generation Processor no, Ram: 8GB Storage: 512GB SSD OS: WIN 11 Professional Warranty: 3 Years Sr.No: P20241213180 (18 % GST Included)</x:v>
      </x:c>
    </x:row>
    <x:row r="7" ht="34" customHeight="1"/>
    <x:row r="8" ht="34" customHeight="1"/>
    <x:row r="9" ht="34" customHeight="1"/>
    <x:row r="10" ht="34" customHeight="1"/>
    <x:row r="11" ht="34" customHeight="1"/>
    <x:row r="12" ht="34" customHeight="1"/>
    <x:row r="13" ht="34" customHeight="1"/>
    <x:row r="14" ht="34" customHeight="1"/>
    <x:row r="15" ht="34" customHeight="1"/>
    <x:row r="16" ht="34" customHeight="1"/>
    <x:row r="17" ht="34" customHeight="1"/>
    <x:row r="18" ht="34" customHeight="1"/>
    <x:row r="19" ht="34" customHeight="1"/>
    <x:row r="20" ht="34" customHeight="1"/>
    <x:row r="21" ht="34" customHeight="1"/>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sheetData>
  <x:mergeCells>
    <x:mergeCell ref="A1:J1"/>
  </x:mergeCells>
  <x:pageMargins left="0.7" right="0.7" top="0.75" bottom="0.75" header="0.3" footer="0.3"/>
  <x:tableParts count="1">
    <x:tablePart xmlns:r="http://schemas.openxmlformats.org/officeDocument/2006/relationships" r:id="Rdea3f8b6408d45a4"/>
  </x:tableParts>
</x:worksheet>
</file>

<file path=xl/worksheets/sheet18.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s>
  <x:sheetData>
    <x:row r="1">
      <x:c r="A1" s="5" t="str">
        <x:v>Computers model/configuration attributes (3NF 1:1 child table)</x:v>
      </x:c>
    </x:row>
    <x:row r="2">
      <x:c r="A2" s="24" t="str">
        <x:v>Rows: 24</x:v>
      </x:c>
    </x:row>
    <x:row r="4">
      <x:c r="A4" s="18" t="str">
        <x:v>model_id</x:v>
      </x:c>
      <x:c r="B4" s="18" t="str">
        <x:v>brand</x:v>
      </x:c>
      <x:c r="C4" s="18" t="str">
        <x:v>model_name</x:v>
      </x:c>
      <x:c r="D4" s="18" t="str">
        <x:v>processor</x:v>
      </x:c>
      <x:c r="E4" s="18" t="str">
        <x:v>ram_gb</x:v>
      </x:c>
      <x:c r="F4" s="18" t="str">
        <x:v>storage</x:v>
      </x:c>
      <x:c r="G4" s="18" t="str">
        <x:v>operating_system</x:v>
      </x:c>
      <x:c r="H4" s="18" t="str">
        <x:v>monitor_size_in</x:v>
      </x:c>
    </x:row>
    <x:row r="5">
      <x:c r="A5" s="19" t="str">
        <x:v>MOD004</x:v>
      </x:c>
      <x:c r="B5" s="19" t="str">
        <x:v>Dell</x:v>
      </x:c>
      <x:c r="C5" s="19" t="str">
        <x:v>OptiPlex 3010</x:v>
      </x:c>
      <x:c r="D5" s="19" t="str">
        <x:v>Intel Core i5 3470 Processor</x:v>
      </x:c>
      <x:c r="E5" s="19" t="n">
        <x:v>4</x:v>
      </x:c>
      <x:c r="F5" s="19" t="str"/>
      <x:c r="G5" s="19" t="str"/>
      <x:c r="H5" s="19" t="n">
        <x:v>18.5</x:v>
      </x:c>
    </x:row>
    <x:row r="6">
      <x:c r="A6" s="19" t="str">
        <x:v>MOD005</x:v>
      </x:c>
      <x:c r="B6" s="19" t="str">
        <x:v>Dell</x:v>
      </x:c>
      <x:c r="C6" s="19" t="str">
        <x:v>OptiPlex 5090 SFF</x:v>
      </x:c>
      <x:c r="D6" s="19" t="str">
        <x:v>Intel Core i7-11700</x:v>
      </x:c>
      <x:c r="E6" s="19" t="n">
        <x:v>8</x:v>
      </x:c>
      <x:c r="F6" s="19" t="str"/>
      <x:c r="G6" s="19" t="str">
        <x:v>Windows 10</x:v>
      </x:c>
      <x:c r="H6" s="19" t="n">
        <x:v>19</x:v>
      </x:c>
    </x:row>
    <x:row r="7">
      <x:c r="A7" s="19" t="str">
        <x:v>MOD006</x:v>
      </x:c>
      <x:c r="B7" s="19" t="str">
        <x:v>Dell</x:v>
      </x:c>
      <x:c r="C7" s="19" t="str">
        <x:v>OptiPlex 360</x:v>
      </x:c>
      <x:c r="D7" s="19" t="str">
        <x:v>Intel Core 2 Deo E7500</x:v>
      </x:c>
      <x:c r="E7" s="19" t="n">
        <x:v>2</x:v>
      </x:c>
      <x:c r="F7" s="19" t="str">
        <x:v>250 GB HDD</x:v>
      </x:c>
      <x:c r="G7" s="19" t="str"/>
      <x:c r="H7" s="19"/>
    </x:row>
    <x:row r="8">
      <x:c r="A8" s="19" t="str">
        <x:v>MOD007</x:v>
      </x:c>
      <x:c r="B8" s="19" t="str">
        <x:v>Dell</x:v>
      </x:c>
      <x:c r="C8" s="19" t="str">
        <x:v>OptiPlex 3040</x:v>
      </x:c>
      <x:c r="D8" s="19" t="str"/>
      <x:c r="E8" s="19"/>
      <x:c r="F8" s="19" t="str"/>
      <x:c r="G8" s="19" t="str"/>
      <x:c r="H8" s="19"/>
    </x:row>
    <x:row r="9">
      <x:c r="A9" s="19" t="str">
        <x:v>MOD008</x:v>
      </x:c>
      <x:c r="B9" s="19" t="str">
        <x:v>Dell</x:v>
      </x:c>
      <x:c r="C9" s="19" t="str">
        <x:v>OptiPlex 360</x:v>
      </x:c>
      <x:c r="D9" s="19" t="str"/>
      <x:c r="E9" s="19"/>
      <x:c r="F9" s="19" t="str">
        <x:v>250 GB HDD</x:v>
      </x:c>
      <x:c r="G9" s="19" t="str"/>
      <x:c r="H9" s="19"/>
    </x:row>
    <x:row r="10">
      <x:c r="A10" s="19" t="str">
        <x:v>MOD009</x:v>
      </x:c>
      <x:c r="B10" s="19" t="str">
        <x:v>Dell</x:v>
      </x:c>
      <x:c r="C10" s="19" t="str">
        <x:v>OptiPlex 3020 MT</x:v>
      </x:c>
      <x:c r="D10" s="19" t="str"/>
      <x:c r="E10" s="19"/>
      <x:c r="F10" s="19" t="str">
        <x:v>500 GB HDD</x:v>
      </x:c>
      <x:c r="G10" s="19" t="str"/>
      <x:c r="H10" s="19"/>
    </x:row>
    <x:row r="11">
      <x:c r="A11" s="19" t="str">
        <x:v>MOD010</x:v>
      </x:c>
      <x:c r="B11" s="19" t="str">
        <x:v>Dell</x:v>
      </x:c>
      <x:c r="C11" s="19" t="str">
        <x:v>OptiPlex 3060 MT</x:v>
      </x:c>
      <x:c r="D11" s="19" t="str">
        <x:v>Intel Core i7 Processor-8700</x:v>
      </x:c>
      <x:c r="E11" s="19"/>
      <x:c r="F11" s="19" t="str"/>
      <x:c r="G11" s="19" t="str">
        <x:v>Windows 10</x:v>
      </x:c>
      <x:c r="H11" s="19" t="n">
        <x:v>19</x:v>
      </x:c>
    </x:row>
    <x:row r="12">
      <x:c r="A12" s="19" t="str">
        <x:v>MOD011</x:v>
      </x:c>
      <x:c r="B12" s="19" t="str">
        <x:v>Dell</x:v>
      </x:c>
      <x:c r="C12" s="19" t="str">
        <x:v>OptiPlex 3020 MT</x:v>
      </x:c>
      <x:c r="D12" s="19" t="str"/>
      <x:c r="E12" s="19"/>
      <x:c r="F12" s="19" t="str">
        <x:v>500 GB HDD</x:v>
      </x:c>
      <x:c r="G12" s="19" t="str">
        <x:v>Linux</x:v>
      </x:c>
      <x:c r="H12" s="19"/>
    </x:row>
    <x:row r="13">
      <x:c r="A13" s="19" t="str">
        <x:v>MOD012</x:v>
      </x:c>
      <x:c r="B13" s="19" t="str">
        <x:v>Dell</x:v>
      </x:c>
      <x:c r="C13" s="19" t="str">
        <x:v>OptiPlex 3050 MT</x:v>
      </x:c>
      <x:c r="D13" s="19" t="str">
        <x:v>Intel Core i7 Processor-770</x:v>
      </x:c>
      <x:c r="E13" s="19"/>
      <x:c r="F13" s="19" t="str"/>
      <x:c r="G13" s="19" t="str">
        <x:v>Windows 10</x:v>
      </x:c>
      <x:c r="H13" s="19" t="n">
        <x:v>18.5</x:v>
      </x:c>
    </x:row>
    <x:row r="14">
      <x:c r="A14" s="19" t="str">
        <x:v>MOD013</x:v>
      </x:c>
      <x:c r="B14" s="19" t="str">
        <x:v>Dell</x:v>
      </x:c>
      <x:c r="C14" s="19" t="str">
        <x:v>OptiPlex 3000 MT</x:v>
      </x:c>
      <x:c r="D14" s="19" t="str"/>
      <x:c r="E14" s="19" t="n">
        <x:v>8</x:v>
      </x:c>
      <x:c r="F14" s="19" t="str">
        <x:v>512 GB SSD</x:v>
      </x:c>
      <x:c r="G14" s="19" t="str">
        <x:v>Windows 11</x:v>
      </x:c>
      <x:c r="H14" s="19"/>
    </x:row>
    <x:row r="15">
      <x:c r="A15" s="19" t="str">
        <x:v>MOD014</x:v>
      </x:c>
      <x:c r="B15" s="19" t="str">
        <x:v>Dell</x:v>
      </x:c>
      <x:c r="C15" s="19" t="str">
        <x:v>OptiPlex 3020 M</x:v>
      </x:c>
      <x:c r="D15" s="19" t="str"/>
      <x:c r="E15" s="19"/>
      <x:c r="F15" s="19" t="str"/>
      <x:c r="G15" s="19" t="str">
        <x:v>Windows 8</x:v>
      </x:c>
      <x:c r="H15" s="19"/>
    </x:row>
    <x:row r="16">
      <x:c r="A16" s="19" t="str">
        <x:v>MOD015</x:v>
      </x:c>
      <x:c r="B16" s="19" t="str">
        <x:v>Dell</x:v>
      </x:c>
      <x:c r="C16" s="19" t="str">
        <x:v>OptiPlex 5090 SFF</x:v>
      </x:c>
      <x:c r="D16" s="19" t="str">
        <x:v>Intel Core i5-11500</x:v>
      </x:c>
      <x:c r="E16" s="19" t="n">
        <x:v>8</x:v>
      </x:c>
      <x:c r="F16" s="19" t="str"/>
      <x:c r="G16" s="19" t="str">
        <x:v>Windows 10</x:v>
      </x:c>
      <x:c r="H16" s="19" t="n">
        <x:v>19</x:v>
      </x:c>
    </x:row>
    <x:row r="17">
      <x:c r="A17" s="19" t="str">
        <x:v>MOD016</x:v>
      </x:c>
      <x:c r="B17" s="19" t="str">
        <x:v>Dell</x:v>
      </x:c>
      <x:c r="C17" s="19" t="str">
        <x:v>OptiPlex 980 MT</x:v>
      </x:c>
      <x:c r="D17" s="19" t="str"/>
      <x:c r="E17" s="19"/>
      <x:c r="F17" s="19" t="str"/>
      <x:c r="G17" s="19" t="str"/>
      <x:c r="H17" s="19"/>
    </x:row>
    <x:row r="18">
      <x:c r="A18" s="19" t="str">
        <x:v>MOD017</x:v>
      </x:c>
      <x:c r="B18" s="19" t="str">
        <x:v>Dell</x:v>
      </x:c>
      <x:c r="C18" s="19" t="str">
        <x:v>OptiPlex 3050 M</x:v>
      </x:c>
      <x:c r="D18" s="19" t="str">
        <x:v>Intel Core i7 Processor-770</x:v>
      </x:c>
      <x:c r="E18" s="19"/>
      <x:c r="F18" s="19" t="str"/>
      <x:c r="G18" s="19" t="str">
        <x:v>Windows 10</x:v>
      </x:c>
      <x:c r="H18" s="19" t="n">
        <x:v>18.5</x:v>
      </x:c>
    </x:row>
    <x:row r="19">
      <x:c r="A19" s="19" t="str">
        <x:v>MOD018</x:v>
      </x:c>
      <x:c r="B19" s="19" t="str">
        <x:v>Dell</x:v>
      </x:c>
      <x:c r="C19" s="19" t="str">
        <x:v>OptiPlex 3050 MT</x:v>
      </x:c>
      <x:c r="D19" s="19" t="str">
        <x:v>Intel Core i5 Processor-7500</x:v>
      </x:c>
      <x:c r="E19" s="19"/>
      <x:c r="F19" s="19" t="str"/>
      <x:c r="G19" s="19" t="str">
        <x:v>Ubuntu Linux 16.04</x:v>
      </x:c>
      <x:c r="H19" s="19" t="n">
        <x:v>19</x:v>
      </x:c>
    </x:row>
    <x:row r="20">
      <x:c r="A20" s="19" t="str">
        <x:v>MOD019</x:v>
      </x:c>
      <x:c r="B20" s="19" t="str">
        <x:v>Dell</x:v>
      </x:c>
      <x:c r="C20" s="19" t="str">
        <x:v>OptiPlex 3080</x:v>
      </x:c>
      <x:c r="D20" s="19" t="str">
        <x:v>Intel Core i5-10500</x:v>
      </x:c>
      <x:c r="E20" s="19" t="n">
        <x:v>8</x:v>
      </x:c>
      <x:c r="F20" s="19" t="str"/>
      <x:c r="G20" s="19" t="str"/>
      <x:c r="H20" s="19" t="n">
        <x:v>19.5</x:v>
      </x:c>
    </x:row>
    <x:row r="21">
      <x:c r="A21" s="19" t="str">
        <x:v>MOD020</x:v>
      </x:c>
      <x:c r="B21" s="19" t="str">
        <x:v>Dell</x:v>
      </x:c>
      <x:c r="C21" s="19" t="str">
        <x:v>OptiPlex 5000 MT</x:v>
      </x:c>
      <x:c r="D21" s="19" t="str">
        <x:v>Intel Core i7-12700</x:v>
      </x:c>
      <x:c r="E21" s="19" t="n">
        <x:v>8</x:v>
      </x:c>
      <x:c r="F21" s="19" t="str"/>
      <x:c r="G21" s="19" t="str">
        <x:v>Linux</x:v>
      </x:c>
      <x:c r="H21" s="19" t="n">
        <x:v>20</x:v>
      </x:c>
    </x:row>
    <x:row r="22">
      <x:c r="A22" s="19" t="str">
        <x:v>MOD021</x:v>
      </x:c>
      <x:c r="B22" s="19" t="str">
        <x:v>Dell</x:v>
      </x:c>
      <x:c r="C22" s="19" t="str">
        <x:v>OptiPlex 390</x:v>
      </x:c>
      <x:c r="D22" s="19" t="str">
        <x:v>Intel Core i5-2400 Processor</x:v>
      </x:c>
      <x:c r="E22" s="19" t="n">
        <x:v>4</x:v>
      </x:c>
      <x:c r="F22" s="19" t="str">
        <x:v>500 GB HDD</x:v>
      </x:c>
      <x:c r="G22" s="19" t="str"/>
      <x:c r="H22" s="19"/>
    </x:row>
    <x:row r="23">
      <x:c r="A23" s="19" t="str">
        <x:v>MOD022</x:v>
      </x:c>
      <x:c r="B23" s="19" t="str">
        <x:v>Dell</x:v>
      </x:c>
      <x:c r="C23" s="19" t="str">
        <x:v>OptiPlex 3010</x:v>
      </x:c>
      <x:c r="D23" s="19" t="str"/>
      <x:c r="E23" s="19" t="n">
        <x:v>4</x:v>
      </x:c>
      <x:c r="F23" s="19" t="str"/>
      <x:c r="G23" s="19" t="str"/>
      <x:c r="H23" s="19" t="n">
        <x:v>18.5</x:v>
      </x:c>
    </x:row>
    <x:row r="24">
      <x:c r="A24" s="19" t="str">
        <x:v>MOD023</x:v>
      </x:c>
      <x:c r="B24" s="19" t="str">
        <x:v>Dell</x:v>
      </x:c>
      <x:c r="C24" s="19" t="str">
        <x:v>OptiPlex 7000 SFF</x:v>
      </x:c>
      <x:c r="D24" s="19" t="str"/>
      <x:c r="E24" s="19" t="n">
        <x:v>8</x:v>
      </x:c>
      <x:c r="F24" s="19" t="str"/>
      <x:c r="G24" s="19" t="str">
        <x:v>Windows 11</x:v>
      </x:c>
      <x:c r="H24" s="19" t="n">
        <x:v>19.5</x:v>
      </x:c>
    </x:row>
    <x:row r="25">
      <x:c r="A25" s="19" t="str">
        <x:v>MOD024</x:v>
      </x:c>
      <x:c r="B25" s="19" t="str">
        <x:v>Dell</x:v>
      </x:c>
      <x:c r="C25" s="19" t="str">
        <x:v>OptiPlex 3020 M</x:v>
      </x:c>
      <x:c r="D25" s="19" t="str"/>
      <x:c r="E25" s="19"/>
      <x:c r="F25" s="19" t="str">
        <x:v>500 GB HDD</x:v>
      </x:c>
      <x:c r="G25" s="19" t="str">
        <x:v>Linux</x:v>
      </x:c>
      <x:c r="H25" s="19"/>
    </x:row>
    <x:row r="26">
      <x:c r="A26" s="19" t="str">
        <x:v>MOD025</x:v>
      </x:c>
      <x:c r="B26" s="19" t="str">
        <x:v>Dell</x:v>
      </x:c>
      <x:c r="C26" s="19" t="str">
        <x:v>OptiPlex 7020 SFF</x:v>
      </x:c>
      <x:c r="D26" s="19" t="str">
        <x:v>Intel Core i7 processor 14700</x:v>
      </x:c>
      <x:c r="E26" s="19"/>
      <x:c r="F26" s="19" t="str">
        <x:v>512 GB SSD</x:v>
      </x:c>
      <x:c r="G26" s="19" t="str">
        <x:v>Windows 11</x:v>
      </x:c>
      <x:c r="H26" s="19"/>
    </x:row>
    <x:row r="27">
      <x:c r="A27" s="19" t="str">
        <x:v>MOD026</x:v>
      </x:c>
      <x:c r="B27" s="19" t="str">
        <x:v>Lenovo</x:v>
      </x:c>
      <x:c r="C27" s="19" t="str">
        <x:v>ThinkCentre M920</x:v>
      </x:c>
      <x:c r="D27" s="19" t="str">
        <x:v>Intel Core i7-9700</x:v>
      </x:c>
      <x:c r="E27" s="19" t="n">
        <x:v>4</x:v>
      </x:c>
      <x:c r="F27" s="19" t="str">
        <x:v>1 TB HDD</x:v>
      </x:c>
      <x:c r="G27" s="19" t="str">
        <x:v>Windows 10</x:v>
      </x:c>
      <x:c r="H27" s="19"/>
    </x:row>
    <x:row r="28">
      <x:c r="A28" s="19" t="str">
        <x:v>MOD027</x:v>
      </x:c>
      <x:c r="B28" s="19" t="str">
        <x:v>Apple</x:v>
      </x:c>
      <x:c r="C28" s="19" t="str">
        <x:v>Mac All-in-One Desktop 21.5"</x:v>
      </x:c>
      <x:c r="D28" s="19" t="str"/>
      <x:c r="E28" s="19" t="n">
        <x:v>8</x:v>
      </x:c>
      <x:c r="F28" s="19" t="str">
        <x:v>256 GB SSD</x:v>
      </x:c>
      <x:c r="G28" s="19" t="str"/>
      <x:c r="H28" s="19"/>
    </x:row>
  </x:sheetData>
  <x:mergeCells>
    <x:mergeCell ref="A1:H1"/>
  </x:mergeCells>
  <x:pageMargins left="0.7" right="0.7" top="0.75" bottom="0.75" header="0.3" footer="0.3"/>
  <x:tableParts count="1">
    <x:tablePart xmlns:r="http://schemas.openxmlformats.org/officeDocument/2006/relationships" r:id="Rfe65cfd45dd04e7f"/>
  </x:tableParts>
</x:worksheet>
</file>

<file path=xl/worksheets/sheet19.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s>
  <x:sheetData>
    <x:row r="1">
      <x:c r="A1" s="5" t="str">
        <x:v>Laptop model/configuration attributes (3NF 1:1 child table)</x:v>
      </x:c>
    </x:row>
    <x:row r="2">
      <x:c r="A2" s="24" t="str">
        <x:v>Rows: 4</x:v>
      </x:c>
    </x:row>
    <x:row r="4">
      <x:c r="A4" s="18" t="str">
        <x:v>model_id</x:v>
      </x:c>
      <x:c r="B4" s="18" t="str">
        <x:v>brand</x:v>
      </x:c>
      <x:c r="C4" s="18" t="str">
        <x:v>model_name</x:v>
      </x:c>
      <x:c r="D4" s="18" t="str">
        <x:v>processor</x:v>
      </x:c>
      <x:c r="E4" s="18" t="str">
        <x:v>ram_gb</x:v>
      </x:c>
      <x:c r="F4" s="18" t="str">
        <x:v>storage</x:v>
      </x:c>
      <x:c r="G4" s="18" t="str">
        <x:v>operating_system</x:v>
      </x:c>
      <x:c r="H4" s="18" t="str">
        <x:v>monitor_size_in</x:v>
      </x:c>
    </x:row>
    <x:row r="5">
      <x:c r="A5" s="19" t="str">
        <x:v>MOD030</x:v>
      </x:c>
      <x:c r="B5" s="19" t="str">
        <x:v>Dell</x:v>
      </x:c>
      <x:c r="C5" s="19" t="str">
        <x:v>Vostro</x:v>
      </x:c>
      <x:c r="D5" s="19" t="str"/>
      <x:c r="E5" s="19"/>
      <x:c r="F5" s="19" t="str"/>
      <x:c r="G5" s="19" t="str"/>
      <x:c r="H5" s="19"/>
    </x:row>
    <x:row r="6">
      <x:c r="A6" s="19" t="str">
        <x:v>MOD031</x:v>
      </x:c>
      <x:c r="B6" s="19" t="str">
        <x:v>Dell</x:v>
      </x:c>
      <x:c r="C6" s="19" t="str">
        <x:v>Vostro 3400</x:v>
      </x:c>
      <x:c r="D6" s="19" t="str">
        <x:v>CORE I3 370</x:v>
      </x:c>
      <x:c r="E6" s="19"/>
      <x:c r="F6" s="19" t="str"/>
      <x:c r="G6" s="19" t="str"/>
      <x:c r="H6" s="19"/>
    </x:row>
    <x:row r="7">
      <x:c r="A7" s="19" t="str">
        <x:v>MOD032</x:v>
      </x:c>
      <x:c r="B7" s="19" t="str">
        <x:v>Toshiba</x:v>
      </x:c>
      <x:c r="C7" s="19" t="str">
        <x:v>Portage</x:v>
      </x:c>
      <x:c r="D7" s="19" t="str"/>
      <x:c r="E7" s="19"/>
      <x:c r="F7" s="19" t="str"/>
      <x:c r="G7" s="19" t="str"/>
      <x:c r="H7" s="19"/>
    </x:row>
    <x:row r="8">
      <x:c r="A8" s="19" t="str">
        <x:v>MOD033</x:v>
      </x:c>
      <x:c r="B8" s="19" t="str">
        <x:v>HP</x:v>
      </x:c>
      <x:c r="C8" s="19" t="str">
        <x:v>Envy 15 K 203 TX</x:v>
      </x:c>
      <x:c r="D8" s="19" t="str"/>
      <x:c r="E8" s="19"/>
      <x:c r="F8" s="19" t="str"/>
      <x:c r="G8" s="19" t="str"/>
      <x:c r="H8" s="19"/>
    </x:row>
  </x:sheetData>
  <x:mergeCells>
    <x:mergeCell ref="A1:H1"/>
  </x:mergeCells>
  <x:pageMargins left="0.7" right="0.7" top="0.75" bottom="0.75" header="0.3" footer="0.3"/>
  <x:tableParts count="1">
    <x:tablePart xmlns:r="http://schemas.openxmlformats.org/officeDocument/2006/relationships" r:id="Rf596329614c145dc"/>
  </x:tableParts>
</x:worksheet>
</file>

<file path=xl/worksheets/sheet20.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s>
  <x:sheetData>
    <x:row r="1">
      <x:c r="A1" s="5" t="str">
        <x:v>Printer model/configuration attributes (3NF 1:1 child table)</x:v>
      </x:c>
    </x:row>
    <x:row r="2">
      <x:c r="A2" s="24" t="str">
        <x:v>Rows: 7</x:v>
      </x:c>
    </x:row>
    <x:row r="4">
      <x:c r="A4" s="18" t="str">
        <x:v>model_id</x:v>
      </x:c>
      <x:c r="B4" s="18" t="str">
        <x:v>brand</x:v>
      </x:c>
      <x:c r="C4" s="18" t="str">
        <x:v>model_name</x:v>
      </x:c>
      <x:c r="D4" s="18" t="str">
        <x:v>functions</x:v>
      </x:c>
      <x:c r="E4" s="18" t="str">
        <x:v>print_speed_ppm</x:v>
      </x:c>
      <x:c r="F4" s="18" t="str">
        <x:v>resolution</x:v>
      </x:c>
      <x:c r="G4" s="18" t="str">
        <x:v>connectivity</x:v>
      </x:c>
      <x:c r="H4" s="18" t="str">
        <x:v>input_tray_sheets</x:v>
      </x:c>
    </x:row>
    <x:row r="5">
      <x:c r="A5" s="19" t="str">
        <x:v>MOD040</x:v>
      </x:c>
      <x:c r="B5" s="19" t="str">
        <x:v>HP</x:v>
      </x:c>
      <x:c r="C5" s="19" t="str">
        <x:v>Laserjet MFP 1136</x:v>
      </x:c>
      <x:c r="D5" s="19" t="str">
        <x:v>Print/Scan/Copy</x:v>
      </x:c>
      <x:c r="E5" s="19" t="n">
        <x:v>15</x:v>
      </x:c>
      <x:c r="F5" s="19" t="str">
        <x:v>1200 DPI</x:v>
      </x:c>
      <x:c r="G5" s="19" t="str"/>
      <x:c r="H5" s="19" t="n">
        <x:v>150</x:v>
      </x:c>
    </x:row>
    <x:row r="6">
      <x:c r="A6" s="19" t="str">
        <x:v>MOD041</x:v>
      </x:c>
      <x:c r="B6" s="19" t="str">
        <x:v>HP</x:v>
      </x:c>
      <x:c r="C6" s="19" t="str">
        <x:v>LJ 3020</x:v>
      </x:c>
      <x:c r="D6" s="19" t="str"/>
      <x:c r="E6" s="19"/>
      <x:c r="F6" s="19" t="str"/>
      <x:c r="G6" s="19" t="str"/>
      <x:c r="H6" s="19"/>
    </x:row>
    <x:row r="7">
      <x:c r="A7" s="19" t="str">
        <x:v>MOD042</x:v>
      </x:c>
      <x:c r="B7" s="19" t="str">
        <x:v>Epson</x:v>
      </x:c>
      <x:c r="C7" s="19" t="str">
        <x:v>M200- C11CC83412</x:v>
      </x:c>
      <x:c r="D7" s="19" t="str">
        <x:v>Print</x:v>
      </x:c>
      <x:c r="E7" s="19" t="n">
        <x:v>34</x:v>
      </x:c>
      <x:c r="F7" s="19" t="str">
        <x:v>1400X720 DPI</x:v>
      </x:c>
      <x:c r="G7" s="19" t="str">
        <x:v>USB, Ethernet</x:v>
      </x:c>
      <x:c r="H7" s="19"/>
    </x:row>
    <x:row r="8">
      <x:c r="A8" s="19" t="str">
        <x:v>MOD043</x:v>
      </x:c>
      <x:c r="B8" s="19" t="str">
        <x:v>HP</x:v>
      </x:c>
      <x:c r="C8" s="19" t="str">
        <x:v>MFP 1005</x:v>
      </x:c>
      <x:c r="D8" s="19" t="str"/>
      <x:c r="E8" s="19"/>
      <x:c r="F8" s="19" t="str"/>
      <x:c r="G8" s="19" t="str"/>
      <x:c r="H8" s="19"/>
    </x:row>
    <x:row r="9">
      <x:c r="A9" s="19" t="str">
        <x:v>MOD044</x:v>
      </x:c>
      <x:c r="B9" s="19" t="str">
        <x:v>HP</x:v>
      </x:c>
      <x:c r="C9" s="19" t="str">
        <x:v>Laserjet CP-1025</x:v>
      </x:c>
      <x:c r="D9" s="19" t="str"/>
      <x:c r="E9" s="19"/>
      <x:c r="F9" s="19" t="str"/>
      <x:c r="G9" s="19" t="str"/>
      <x:c r="H9" s="19"/>
    </x:row>
    <x:row r="10">
      <x:c r="A10" s="19" t="str">
        <x:v>MOD045</x:v>
      </x:c>
      <x:c r="B10" s="19" t="str">
        <x:v>HP</x:v>
      </x:c>
      <x:c r="C10" s="19" t="str">
        <x:v>MFP 1005</x:v>
      </x:c>
      <x:c r="D10" s="19" t="str">
        <x:v>Print</x:v>
      </x:c>
      <x:c r="E10" s="19" t="n">
        <x:v>14</x:v>
      </x:c>
      <x:c r="F10" s="19" t="str">
        <x:v>1200X1200 DPI</x:v>
      </x:c>
      <x:c r="G10" s="19" t="str">
        <x:v>USB</x:v>
      </x:c>
      <x:c r="H10" s="19"/>
    </x:row>
    <x:row r="11">
      <x:c r="A11" s="19" t="str">
        <x:v>MOD046</x:v>
      </x:c>
      <x:c r="B11" s="19" t="str">
        <x:v>HP</x:v>
      </x:c>
      <x:c r="C11" s="19" t="str">
        <x:v>1005</x:v>
      </x:c>
      <x:c r="D11" s="19" t="str">
        <x:v>Print/Scan/Copy</x:v>
      </x:c>
      <x:c r="E11" s="19"/>
      <x:c r="F11" s="19" t="str"/>
      <x:c r="G11" s="19" t="str"/>
      <x:c r="H11" s="19"/>
    </x:row>
  </x:sheetData>
  <x:mergeCells>
    <x:mergeCell ref="A1:H1"/>
  </x:mergeCells>
  <x:pageMargins left="0.7" right="0.7" top="0.75" bottom="0.75" header="0.3" footer="0.3"/>
  <x:tableParts count="1">
    <x:tablePart xmlns:r="http://schemas.openxmlformats.org/officeDocument/2006/relationships" r:id="Racc1927e74cd445a"/>
  </x:tableParts>
</x:worksheet>
</file>

<file path=xl/worksheets/sheet21.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x:c r="A1" s="5" t="str">
        <x:v>UPS model/configuration attributes (3NF 1:1 child table)</x:v>
      </x:c>
    </x:row>
    <x:row r="2">
      <x:c r="A2" s="24" t="str">
        <x:v>Rows: 9</x:v>
      </x:c>
    </x:row>
    <x:row r="4">
      <x:c r="A4" s="18" t="str">
        <x:v>model_id</x:v>
      </x:c>
      <x:c r="B4" s="18" t="str">
        <x:v>brand</x:v>
      </x:c>
      <x:c r="C4" s="18" t="str">
        <x:v>model_name</x:v>
      </x:c>
      <x:c r="D4" s="18" t="str">
        <x:v>capacity_kva</x:v>
      </x:c>
      <x:c r="E4" s="18" t="str">
        <x:v>dc_voltage</x:v>
      </x:c>
      <x:c r="F4" s="18" t="str">
        <x:v>input_voltage_range</x:v>
      </x:c>
      <x:c r="G4" s="18" t="str">
        <x:v>output_power_factor</x:v>
      </x:c>
      <x:c r="H4" s="18" t="str">
        <x:v>charger_amp</x:v>
      </x:c>
      <x:c r="I4" s="18" t="str">
        <x:v>battery_spec</x:v>
      </x:c>
    </x:row>
    <x:row r="5">
      <x:c r="A5" s="19" t="str">
        <x:v>MOD047</x:v>
      </x:c>
      <x:c r="B5" s="19" t="str">
        <x:v>Liebert</x:v>
      </x:c>
      <x:c r="C5" s="19" t="str">
        <x:v>Powerbank 6000</x:v>
      </x:c>
      <x:c r="D5" s="19"/>
      <x:c r="E5" s="19"/>
      <x:c r="F5" s="19" t="str"/>
      <x:c r="G5" s="19"/>
      <x:c r="H5" s="19"/>
      <x:c r="I5" s="19" t="str"/>
    </x:row>
    <x:row r="6">
      <x:c r="A6" s="19" t="str">
        <x:v>MOD048</x:v>
      </x:c>
      <x:c r="B6" s="19" t="str">
        <x:v>Renutron</x:v>
      </x:c>
      <x:c r="C6" s="19" t="str">
        <x:v>6 KVA Online UPS</x:v>
      </x:c>
      <x:c r="D6" s="19" t="n">
        <x:v>6</x:v>
      </x:c>
      <x:c r="E6" s="19" t="n">
        <x:v>144</x:v>
      </x:c>
      <x:c r="F6" s="19" t="str">
        <x:v>150-280 V</x:v>
      </x:c>
      <x:c r="G6" s="19" t="n">
        <x:v>0.8</x:v>
      </x:c>
      <x:c r="H6" s="19" t="n">
        <x:v>15</x:v>
      </x:c>
      <x:c r="I6" s="19" t="str"/>
    </x:row>
    <x:row r="7">
      <x:c r="A7" s="19" t="str">
        <x:v>MOD049</x:v>
      </x:c>
      <x:c r="B7" s="19" t="str">
        <x:v>RPC Online</x:v>
      </x:c>
      <x:c r="C7" s="19" t="str">
        <x:v>RPC Online 4 KVA</x:v>
      </x:c>
      <x:c r="D7" s="19" t="n">
        <x:v>4</x:v>
      </x:c>
      <x:c r="E7" s="19"/>
      <x:c r="F7" s="19" t="str"/>
      <x:c r="G7" s="19"/>
      <x:c r="H7" s="19"/>
      <x:c r="I7" s="19" t="str"/>
    </x:row>
    <x:row r="8">
      <x:c r="A8" s="19" t="str">
        <x:v>MOD050</x:v>
      </x:c>
      <x:c r="B8" s="19" t="str">
        <x:v>Renutron</x:v>
      </x:c>
      <x:c r="C8" s="19" t="str">
        <x:v>6 KVA Online UPS</x:v>
      </x:c>
      <x:c r="D8" s="19" t="n">
        <x:v>6</x:v>
      </x:c>
      <x:c r="E8" s="19" t="n">
        <x:v>144</x:v>
      </x:c>
      <x:c r="F8" s="19" t="str">
        <x:v>150-280 V</x:v>
      </x:c>
      <x:c r="G8" s="19" t="n">
        <x:v>0.8</x:v>
      </x:c>
      <x:c r="H8" s="19" t="n">
        <x:v>15</x:v>
      </x:c>
      <x:c r="I8" s="19" t="str">
        <x:v>12V 42Ah</x:v>
      </x:c>
    </x:row>
    <x:row r="9">
      <x:c r="A9" s="19" t="str">
        <x:v>MOD051</x:v>
      </x:c>
      <x:c r="B9" s="19" t="str">
        <x:v>Renutron</x:v>
      </x:c>
      <x:c r="C9" s="19" t="str">
        <x:v>3 KVA Online UPS</x:v>
      </x:c>
      <x:c r="D9" s="19" t="n">
        <x:v>3</x:v>
      </x:c>
      <x:c r="E9" s="19" t="n">
        <x:v>72</x:v>
      </x:c>
      <x:c r="F9" s="19" t="str"/>
      <x:c r="G9" s="19"/>
      <x:c r="H9" s="19"/>
      <x:c r="I9" s="19" t="str"/>
    </x:row>
    <x:row r="10">
      <x:c r="A10" s="19" t="str">
        <x:v>MOD052</x:v>
      </x:c>
      <x:c r="B10" s="19" t="str"/>
      <x:c r="C10" s="19" t="str">
        <x:v>4 KVA Online UPS</x:v>
      </x:c>
      <x:c r="D10" s="19" t="n">
        <x:v>4</x:v>
      </x:c>
      <x:c r="E10" s="19"/>
      <x:c r="F10" s="19" t="str"/>
      <x:c r="G10" s="19"/>
      <x:c r="H10" s="19"/>
      <x:c r="I10" s="19" t="str"/>
    </x:row>
    <x:row r="11">
      <x:c r="A11" s="19" t="str">
        <x:v>MOD053</x:v>
      </x:c>
      <x:c r="B11" s="19" t="str">
        <x:v>Liebert</x:v>
      </x:c>
      <x:c r="C11" s="19" t="str">
        <x:v>Super 420D</x:v>
      </x:c>
      <x:c r="D11" s="19" t="n">
        <x:v>20</x:v>
      </x:c>
      <x:c r="E11" s="19"/>
      <x:c r="F11" s="19" t="str"/>
      <x:c r="G11" s="19"/>
      <x:c r="H11" s="19"/>
      <x:c r="I11" s="19" t="str">
        <x:v>12V 100Ah</x:v>
      </x:c>
    </x:row>
    <x:row r="12">
      <x:c r="A12" s="19" t="str">
        <x:v>MOD054</x:v>
      </x:c>
      <x:c r="B12" s="19" t="str">
        <x:v>Renutron</x:v>
      </x:c>
      <x:c r="C12" s="19" t="str">
        <x:v>3 KVA Online UPS</x:v>
      </x:c>
      <x:c r="D12" s="19" t="n">
        <x:v>3</x:v>
      </x:c>
      <x:c r="E12" s="19" t="n">
        <x:v>72</x:v>
      </x:c>
      <x:c r="F12" s="19" t="str">
        <x:v>150-300 V</x:v>
      </x:c>
      <x:c r="G12" s="19" t="n">
        <x:v>0.8</x:v>
      </x:c>
      <x:c r="H12" s="19"/>
      <x:c r="I12" s="19" t="str"/>
    </x:row>
    <x:row r="13">
      <x:c r="A13" s="19" t="str">
        <x:v>MOD055</x:v>
      </x:c>
      <x:c r="B13" s="19" t="str">
        <x:v>Renutron</x:v>
      </x:c>
      <x:c r="C13" s="19" t="str">
        <x:v>6 KVA Online UPS</x:v>
      </x:c>
      <x:c r="D13" s="19" t="n">
        <x:v>6</x:v>
      </x:c>
      <x:c r="E13" s="19" t="n">
        <x:v>144</x:v>
      </x:c>
      <x:c r="F13" s="19" t="str">
        <x:v>150-280 V</x:v>
      </x:c>
      <x:c r="G13" s="19" t="n">
        <x:v>0.8</x:v>
      </x:c>
      <x:c r="H13" s="19" t="n">
        <x:v>15</x:v>
      </x:c>
      <x:c r="I13" s="19" t="str">
        <x:v>12V 80Ah</x:v>
      </x:c>
    </x:row>
  </x:sheetData>
  <x:mergeCells>
    <x:mergeCell ref="A1:I1"/>
  </x:mergeCells>
  <x:pageMargins left="0.7" right="0.7" top="0.75" bottom="0.75" header="0.3" footer="0.3"/>
  <x:tableParts count="1">
    <x:tablePart xmlns:r="http://schemas.openxmlformats.org/officeDocument/2006/relationships" r:id="Rdd95f6e8905c4f8a"/>
  </x:tableParts>
</x:worksheet>
</file>

<file path=xl/worksheets/sheet22.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s>
  <x:sheetData>
    <x:row r="1">
      <x:c r="A1" s="5" t="str">
        <x:v>Battery model/configuration attributes (3NF 1:1 child table)</x:v>
      </x:c>
    </x:row>
    <x:row r="2">
      <x:c r="A2" s="24" t="str">
        <x:v>Rows: 3</x:v>
      </x:c>
    </x:row>
    <x:row r="4">
      <x:c r="A4" s="18" t="str">
        <x:v>model_id</x:v>
      </x:c>
      <x:c r="B4" s="18" t="str">
        <x:v>brand</x:v>
      </x:c>
      <x:c r="C4" s="18" t="str">
        <x:v>model_name</x:v>
      </x:c>
      <x:c r="D4" s="18" t="str">
        <x:v>voltage_v</x:v>
      </x:c>
      <x:c r="E4" s="18" t="str">
        <x:v>capacity_ah</x:v>
      </x:c>
      <x:c r="F4" s="18" t="str">
        <x:v>battery_type</x:v>
      </x:c>
    </x:row>
    <x:row r="5">
      <x:c r="A5" s="19" t="str">
        <x:v>MOD001</x:v>
      </x:c>
      <x:c r="B5" s="19" t="str">
        <x:v>HBL</x:v>
      </x:c>
      <x:c r="C5" s="19" t="str">
        <x:v>12V 80Ah Triumph-HP</x:v>
      </x:c>
      <x:c r="D5" s="19" t="n">
        <x:v>12</x:v>
      </x:c>
      <x:c r="E5" s="19" t="n">
        <x:v>80</x:v>
      </x:c>
      <x:c r="F5" s="19" t="str"/>
    </x:row>
    <x:row r="6">
      <x:c r="A6" s="19" t="str">
        <x:v>MOD002</x:v>
      </x:c>
      <x:c r="B6" s="19" t="str">
        <x:v>Quanta</x:v>
      </x:c>
      <x:c r="C6" s="19" t="str">
        <x:v>12V 42Ah SMF</x:v>
      </x:c>
      <x:c r="D6" s="19" t="n">
        <x:v>12</x:v>
      </x:c>
      <x:c r="E6" s="19" t="n">
        <x:v>42</x:v>
      </x:c>
      <x:c r="F6" s="19" t="str">
        <x:v>SMF</x:v>
      </x:c>
    </x:row>
    <x:row r="7">
      <x:c r="A7" s="19" t="str">
        <x:v>MOD003</x:v>
      </x:c>
      <x:c r="B7" s="19" t="str">
        <x:v>Quanta</x:v>
      </x:c>
      <x:c r="C7" s="19" t="str">
        <x:v>12V 42Ah SMF</x:v>
      </x:c>
      <x:c r="D7" s="19" t="n">
        <x:v>12</x:v>
      </x:c>
      <x:c r="E7" s="19" t="n">
        <x:v>42</x:v>
      </x:c>
      <x:c r="F7" s="19" t="str"/>
    </x:row>
  </x:sheetData>
  <x:mergeCells>
    <x:mergeCell ref="A1:F1"/>
  </x:mergeCells>
  <x:pageMargins left="0.7" right="0.7" top="0.75" bottom="0.75" header="0.3" footer="0.3"/>
  <x:tableParts count="1">
    <x:tablePart xmlns:r="http://schemas.openxmlformats.org/officeDocument/2006/relationships" r:id="R4d3e90f87e8e4c5f"/>
  </x:tableParts>
</x:worksheet>
</file>

<file path=xl/worksheets/sheet23.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s>
  <x:sheetData>
    <x:row r="1">
      <x:c r="A1" s="5" t="str">
        <x:v>LCD Projector model/configuration attributes (3NF 1:1 child table)</x:v>
      </x:c>
    </x:row>
    <x:row r="2">
      <x:c r="A2" s="24" t="str">
        <x:v>Rows: 6</x:v>
      </x:c>
    </x:row>
    <x:row r="4">
      <x:c r="A4" s="18" t="str">
        <x:v>model_id</x:v>
      </x:c>
      <x:c r="B4" s="18" t="str">
        <x:v>brand</x:v>
      </x:c>
      <x:c r="C4" s="18" t="str">
        <x:v>model_name</x:v>
      </x:c>
      <x:c r="D4" s="18" t="str">
        <x:v>technology</x:v>
      </x:c>
      <x:c r="E4" s="18" t="str">
        <x:v>brightness_lumens</x:v>
      </x:c>
    </x:row>
    <x:row r="5">
      <x:c r="A5" s="19" t="str">
        <x:v>MOD034</x:v>
      </x:c>
      <x:c r="B5" s="19" t="str">
        <x:v>Samsung</x:v>
      </x:c>
      <x:c r="C5" s="19" t="str">
        <x:v>Flip 65 2.0 LH65WMRWBGCXXL</x:v>
      </x:c>
      <x:c r="D5" s="19" t="str"/>
      <x:c r="E5" s="19"/>
    </x:row>
    <x:row r="6">
      <x:c r="A6" s="19" t="str">
        <x:v>MOD035</x:v>
      </x:c>
      <x:c r="B6" s="19" t="str">
        <x:v>Epson</x:v>
      </x:c>
      <x:c r="C6" s="19" t="str">
        <x:v>EB-E01 V11H971056</x:v>
      </x:c>
      <x:c r="D6" s="19" t="str">
        <x:v>3LCD</x:v>
      </x:c>
      <x:c r="E6" s="19" t="n">
        <x:v>3300</x:v>
      </x:c>
    </x:row>
    <x:row r="7">
      <x:c r="A7" s="19" t="str">
        <x:v>MOD036</x:v>
      </x:c>
      <x:c r="B7" s="19" t="str">
        <x:v>Epson</x:v>
      </x:c>
      <x:c r="C7" s="19" t="str">
        <x:v>EB-X03</x:v>
      </x:c>
      <x:c r="D7" s="19" t="str"/>
      <x:c r="E7" s="19"/>
    </x:row>
    <x:row r="8">
      <x:c r="A8" s="19" t="str">
        <x:v>MOD037</x:v>
      </x:c>
      <x:c r="B8" s="19" t="str">
        <x:v>Epson</x:v>
      </x:c>
      <x:c r="C8" s="19" t="str">
        <x:v>EB-X12</x:v>
      </x:c>
      <x:c r="D8" s="19" t="str"/>
      <x:c r="E8" s="19"/>
    </x:row>
    <x:row r="9">
      <x:c r="A9" s="19" t="str">
        <x:v>MOD038</x:v>
      </x:c>
      <x:c r="B9" s="19" t="str">
        <x:v>Epson</x:v>
      </x:c>
      <x:c r="C9" s="19" t="str">
        <x:v>EB-X05 V11H839056</x:v>
      </x:c>
      <x:c r="D9" s="19" t="str"/>
      <x:c r="E9" s="19"/>
    </x:row>
    <x:row r="10">
      <x:c r="A10" s="19" t="str">
        <x:v>MOD039</x:v>
      </x:c>
      <x:c r="B10" s="19" t="str">
        <x:v>Epson</x:v>
      </x:c>
      <x:c r="C10" s="19" t="str">
        <x:v>EB-X10</x:v>
      </x:c>
      <x:c r="D10" s="19" t="str"/>
      <x:c r="E10" s="19"/>
    </x:row>
  </x:sheetData>
  <x:mergeCells>
    <x:mergeCell ref="A1:E1"/>
  </x:mergeCells>
  <x:pageMargins left="0.7" right="0.7" top="0.75" bottom="0.75" header="0.3" footer="0.3"/>
  <x:tableParts count="1">
    <x:tablePart xmlns:r="http://schemas.openxmlformats.org/officeDocument/2006/relationships" r:id="R0d29217b5d174d61"/>
  </x:tableParts>
</x:worksheet>
</file>

<file path=xl/worksheets/sheet24.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3"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x:c r="A1" s="5" t="str">
        <x:v>Interactive Panel model/configuration attributes (3NF 1:1 child table)</x:v>
      </x:c>
    </x:row>
    <x:row r="2">
      <x:c r="A2" s="24" t="str">
        <x:v>Rows: 2</x:v>
      </x:c>
    </x:row>
    <x:row r="4">
      <x:c r="A4" s="18" t="str">
        <x:v>model_id</x:v>
      </x:c>
      <x:c r="B4" s="18" t="str">
        <x:v>brand</x:v>
      </x:c>
      <x:c r="C4" s="18" t="str">
        <x:v>model_name</x:v>
      </x:c>
      <x:c r="D4" s="18" t="str">
        <x:v>screen_size_in</x:v>
      </x:c>
      <x:c r="E4" s="18" t="str">
        <x:v>resolution</x:v>
      </x:c>
      <x:c r="F4" s="18" t="str">
        <x:v>android_version</x:v>
      </x:c>
      <x:c r="G4" s="18" t="str">
        <x:v>ram_gb</x:v>
      </x:c>
      <x:c r="H4" s="18" t="str">
        <x:v>storage</x:v>
      </x:c>
      <x:c r="I4" s="18" t="str">
        <x:v>touch_points</x:v>
      </x:c>
      <x:c r="J4" s="18" t="str">
        <x:v>touch_accuracy_mm</x:v>
      </x:c>
      <x:c r="K4" s="18" t="str">
        <x:v>type_c_power_w</x:v>
      </x:c>
      <x:c r="L4" s="18" t="str">
        <x:v>pc_processor</x:v>
      </x:c>
      <x:c r="M4" s="18" t="str">
        <x:v>pc_ram_gb</x:v>
      </x:c>
      <x:c r="N4" s="18" t="str">
        <x:v>pc_storage</x:v>
      </x:c>
      <x:c r="O4" s="18" t="str">
        <x:v>pc_operating_system</x:v>
      </x:c>
    </x:row>
    <x:row r="5">
      <x:c r="A5" s="19" t="str">
        <x:v>MOD028</x:v>
      </x:c>
      <x:c r="B5" s="19" t="str">
        <x:v>BenQ</x:v>
      </x:c>
      <x:c r="C5" s="19" t="str">
        <x:v>RE7504 75-inch</x:v>
      </x:c>
      <x:c r="D5" s="19" t="n">
        <x:v>75</x:v>
      </x:c>
      <x:c r="E5" s="19" t="str">
        <x:v>4K</x:v>
      </x:c>
      <x:c r="F5" s="19" t="str">
        <x:v>13.0</x:v>
      </x:c>
      <x:c r="G5" s="19" t="n">
        <x:v>8</x:v>
      </x:c>
      <x:c r="H5" s="19" t="str">
        <x:v>64 GB</x:v>
      </x:c>
      <x:c r="I5" s="19" t="n">
        <x:v>40</x:v>
      </x:c>
      <x:c r="J5" s="19" t="n">
        <x:v>1</x:v>
      </x:c>
      <x:c r="K5" s="19" t="n">
        <x:v>65</x:v>
      </x:c>
      <x:c r="L5" s="19" t="str"/>
      <x:c r="M5" s="19" t="n">
        <x:v>8</x:v>
      </x:c>
      <x:c r="N5" s="19" t="str"/>
      <x:c r="O5" s="19" t="str"/>
    </x:row>
    <x:row r="6">
      <x:c r="A6" s="19" t="str">
        <x:v>MOD029</x:v>
      </x:c>
      <x:c r="B6" s="19" t="str"/>
      <x:c r="C6" s="19" t="str">
        <x:v>OPS PC - Core i5 12th Gen</x:v>
      </x:c>
      <x:c r="D6" s="19"/>
      <x:c r="E6" s="19" t="str"/>
      <x:c r="F6" s="19" t="str"/>
      <x:c r="G6" s="19" t="n">
        <x:v>8</x:v>
      </x:c>
      <x:c r="H6" s="19" t="str">
        <x:v>512 SSD</x:v>
      </x:c>
      <x:c r="I6" s="19"/>
      <x:c r="J6" s="19"/>
      <x:c r="K6" s="19"/>
      <x:c r="L6" s="19" t="str"/>
      <x:c r="M6" s="19" t="n">
        <x:v>8</x:v>
      </x:c>
      <x:c r="N6" s="19" t="str">
        <x:v>512 GB SSD</x:v>
      </x:c>
      <x:c r="O6" s="19" t="str"/>
    </x:row>
  </x:sheetData>
  <x:mergeCells>
    <x:mergeCell ref="A1:O1"/>
  </x:mergeCells>
  <x:pageMargins left="0.7" right="0.7" top="0.75" bottom="0.75" header="0.3" footer="0.3"/>
  <x:tableParts count="1">
    <x:tablePart xmlns:r="http://schemas.openxmlformats.org/officeDocument/2006/relationships" r:id="R14666900d8ab44fb"/>
  </x:tableParts>
</x:worksheet>
</file>

<file path=xl/worksheets/sheet25.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35" hidden="0" customWidth="1"/>
    <x:col min="6" max="6" width="14" hidden="0" customWidth="1"/>
    <x:col min="7" max="7" width="40" hidden="0" customWidth="1"/>
  </x:cols>
  <x:sheetData>
    <x:row r="1">
      <x:c r="A1" s="5" t="str">
        <x:v>Database Tables, Attributes, Primary Keys and Foreign Keys</x:v>
      </x:c>
    </x:row>
    <x:row r="2">
      <x:c r="A2" s="24" t="str">
        <x:v>Rows: 135</x:v>
      </x:c>
    </x:row>
    <x:row r="4">
      <x:c r="A4" s="18" t="str">
        <x:v>schema_group</x:v>
      </x:c>
      <x:c r="B4" s="18" t="str">
        <x:v>table</x:v>
      </x:c>
      <x:c r="C4" s="18" t="str">
        <x:v>column</x:v>
      </x:c>
      <x:c r="D4" s="18" t="str">
        <x:v>data_type</x:v>
      </x:c>
      <x:c r="E4" s="18" t="str">
        <x:v>key_or_constraint</x:v>
      </x:c>
      <x:c r="F4" s="18" t="str">
        <x:v>nullable</x:v>
      </x:c>
      <x:c r="G4" s="18" t="str">
        <x:v>purpose</x:v>
      </x:c>
    </x:row>
    <x:row r="5">
      <x:c r="A5" s="19" t="str">
        <x:v>Existing / extended app</x:v>
      </x:c>
      <x:c r="B5" s="19" t="str">
        <x:v>profiles</x:v>
      </x:c>
      <x:c r="C5" s="19" t="str">
        <x:v>id</x:v>
      </x:c>
      <x:c r="D5" s="19" t="str">
        <x:v>uuid</x:v>
      </x:c>
      <x:c r="E5" s="19" t="str">
        <x:v>PK + FK -&gt; auth.users.id</x:v>
      </x:c>
      <x:c r="F5" s="19" t="str">
        <x:v>NO</x:v>
      </x:c>
      <x:c r="G5" s="19" t="str">
        <x:v>Supabase user profile</x:v>
      </x:c>
    </x:row>
    <x:row r="6">
      <x:c r="A6" s="19" t="str">
        <x:v>Existing / extended app</x:v>
      </x:c>
      <x:c r="B6" s="19" t="str">
        <x:v>profiles</x:v>
      </x:c>
      <x:c r="C6" s="19" t="str">
        <x:v>full_name</x:v>
      </x:c>
      <x:c r="D6" s="19" t="str">
        <x:v>text</x:v>
      </x:c>
      <x:c r="E6" s="19" t="str"/>
      <x:c r="F6" s="19" t="str">
        <x:v>NO</x:v>
      </x:c>
      <x:c r="G6" s="19" t="str">
        <x:v>User name</x:v>
      </x:c>
    </x:row>
    <x:row r="7">
      <x:c r="A7" s="19" t="str">
        <x:v>Existing / extended app</x:v>
      </x:c>
      <x:c r="B7" s="19" t="str">
        <x:v>profiles</x:v>
      </x:c>
      <x:c r="C7" s="19" t="str">
        <x:v>role</x:v>
      </x:c>
      <x:c r="D7" s="19" t="str">
        <x:v>text</x:v>
      </x:c>
      <x:c r="E7" s="19" t="str">
        <x:v>CHECK</x:v>
      </x:c>
      <x:c r="F7" s="19" t="str">
        <x:v>NO</x:v>
      </x:c>
      <x:c r="G7" s="19" t="str">
        <x:v>student/faculty/lab_admin</x:v>
      </x:c>
    </x:row>
    <x:row r="8">
      <x:c r="A8" s="19" t="str">
        <x:v>Existing / extended app</x:v>
      </x:c>
      <x:c r="B8" s="19" t="str">
        <x:v>profiles</x:v>
      </x:c>
      <x:c r="C8" s="19" t="str">
        <x:v>created_at</x:v>
      </x:c>
      <x:c r="D8" s="19" t="str">
        <x:v>timestamptz</x:v>
      </x:c>
      <x:c r="E8" s="19" t="str"/>
      <x:c r="F8" s="19" t="str">
        <x:v>NO</x:v>
      </x:c>
      <x:c r="G8" s="19" t="str">
        <x:v>Created timestamp</x:v>
      </x:c>
    </x:row>
    <x:row r="9">
      <x:c r="A9" s="19" t="str">
        <x:v>Existing / extended app</x:v>
      </x:c>
      <x:c r="B9" s="19" t="str">
        <x:v>campus_nodes</x:v>
      </x:c>
      <x:c r="C9" s="19" t="str">
        <x:v>id</x:v>
      </x:c>
      <x:c r="D9" s="19" t="str">
        <x:v>uuid</x:v>
      </x:c>
      <x:c r="E9" s="19" t="str">
        <x:v>PK</x:v>
      </x:c>
      <x:c r="F9" s="19" t="str">
        <x:v>NO</x:v>
      </x:c>
      <x:c r="G9" s="19" t="str">
        <x:v>Graph node</x:v>
      </x:c>
    </x:row>
    <x:row r="10">
      <x:c r="A10" s="19" t="str">
        <x:v>Existing / extended app</x:v>
      </x:c>
      <x:c r="B10" s="19" t="str">
        <x:v>campus_nodes</x:v>
      </x:c>
      <x:c r="C10" s="19" t="str">
        <x:v>name</x:v>
      </x:c>
      <x:c r="D10" s="19" t="str">
        <x:v>text</x:v>
      </x:c>
      <x:c r="E10" s="19" t="str"/>
      <x:c r="F10" s="19" t="str">
        <x:v>NO</x:v>
      </x:c>
      <x:c r="G10" s="19" t="str">
        <x:v>Node name</x:v>
      </x:c>
    </x:row>
    <x:row r="11">
      <x:c r="A11" s="19" t="str">
        <x:v>Existing / extended app</x:v>
      </x:c>
      <x:c r="B11" s="19" t="str">
        <x:v>campus_nodes</x:v>
      </x:c>
      <x:c r="C11" s="19" t="str">
        <x:v>node_type</x:v>
      </x:c>
      <x:c r="D11" s="19" t="str">
        <x:v>text</x:v>
      </x:c>
      <x:c r="E11" s="19" t="str"/>
      <x:c r="F11" s="19" t="str">
        <x:v>NO</x:v>
      </x:c>
      <x:c r="G11" s="19" t="str">
        <x:v>lab/building/landmark</x:v>
      </x:c>
    </x:row>
    <x:row r="12">
      <x:c r="A12" s="19" t="str">
        <x:v>Existing / extended app</x:v>
      </x:c>
      <x:c r="B12" s="19" t="str">
        <x:v>campus_nodes</x:v>
      </x:c>
      <x:c r="C12" s="19" t="str">
        <x:v>created_at</x:v>
      </x:c>
      <x:c r="D12" s="19" t="str">
        <x:v>timestamptz</x:v>
      </x:c>
      <x:c r="E12" s="19" t="str"/>
      <x:c r="F12" s="19" t="str">
        <x:v>NO</x:v>
      </x:c>
      <x:c r="G12" s="19" t="str">
        <x:v>Created timestamp</x:v>
      </x:c>
    </x:row>
    <x:row r="13">
      <x:c r="A13" s="19" t="str">
        <x:v>Existing / extended app</x:v>
      </x:c>
      <x:c r="B13" s="19" t="str">
        <x:v>campus_edges</x:v>
      </x:c>
      <x:c r="C13" s="19" t="str">
        <x:v>id</x:v>
      </x:c>
      <x:c r="D13" s="19" t="str">
        <x:v>uuid</x:v>
      </x:c>
      <x:c r="E13" s="19" t="str">
        <x:v>PK</x:v>
      </x:c>
      <x:c r="F13" s="19" t="str">
        <x:v>NO</x:v>
      </x:c>
      <x:c r="G13" s="19" t="str">
        <x:v>Graph edge</x:v>
      </x:c>
    </x:row>
    <x:row r="14">
      <x:c r="A14" s="19" t="str">
        <x:v>Existing / extended app</x:v>
      </x:c>
      <x:c r="B14" s="19" t="str">
        <x:v>campus_edges</x:v>
      </x:c>
      <x:c r="C14" s="19" t="str">
        <x:v>from_node</x:v>
      </x:c>
      <x:c r="D14" s="19" t="str">
        <x:v>uuid</x:v>
      </x:c>
      <x:c r="E14" s="19" t="str">
        <x:v>FK -&gt; campus_nodes.id</x:v>
      </x:c>
      <x:c r="F14" s="19" t="str">
        <x:v>NO</x:v>
      </x:c>
      <x:c r="G14" s="19" t="str">
        <x:v>Start node</x:v>
      </x:c>
    </x:row>
    <x:row r="15">
      <x:c r="A15" s="19" t="str">
        <x:v>Existing / extended app</x:v>
      </x:c>
      <x:c r="B15" s="19" t="str">
        <x:v>campus_edges</x:v>
      </x:c>
      <x:c r="C15" s="19" t="str">
        <x:v>to_node</x:v>
      </x:c>
      <x:c r="D15" s="19" t="str">
        <x:v>uuid</x:v>
      </x:c>
      <x:c r="E15" s="19" t="str">
        <x:v>FK -&gt; campus_nodes.id</x:v>
      </x:c>
      <x:c r="F15" s="19" t="str">
        <x:v>NO</x:v>
      </x:c>
      <x:c r="G15" s="19" t="str">
        <x:v>End node</x:v>
      </x:c>
    </x:row>
    <x:row r="16">
      <x:c r="A16" s="19" t="str">
        <x:v>Existing / extended app</x:v>
      </x:c>
      <x:c r="B16" s="19" t="str">
        <x:v>campus_edges</x:v>
      </x:c>
      <x:c r="C16" s="19" t="str">
        <x:v>distance_m</x:v>
      </x:c>
      <x:c r="D16" s="19" t="str">
        <x:v>numeric</x:v>
      </x:c>
      <x:c r="E16" s="19" t="str"/>
      <x:c r="F16" s="19" t="str">
        <x:v>NO</x:v>
      </x:c>
      <x:c r="G16" s="19" t="str">
        <x:v>Distance</x:v>
      </x:c>
    </x:row>
    <x:row r="17">
      <x:c r="A17" s="19" t="str">
        <x:v>Existing / extended app</x:v>
      </x:c>
      <x:c r="B17" s="19" t="str">
        <x:v>campus_edges</x:v>
      </x:c>
      <x:c r="C17" s="19" t="str">
        <x:v>weight</x:v>
      </x:c>
      <x:c r="D17" s="19" t="str">
        <x:v>numeric</x:v>
      </x:c>
      <x:c r="E17" s="19" t="str"/>
      <x:c r="F17" s="19" t="str">
        <x:v>NO</x:v>
      </x:c>
      <x:c r="G17" s="19" t="str">
        <x:v>Routing weight</x:v>
      </x:c>
    </x:row>
    <x:row r="18">
      <x:c r="A18" s="19" t="str">
        <x:v>Existing / extended app</x:v>
      </x:c>
      <x:c r="B18" s="19" t="str">
        <x:v>campus_edges</x:v>
      </x:c>
      <x:c r="C18" s="19" t="str">
        <x:v>created_at</x:v>
      </x:c>
      <x:c r="D18" s="19" t="str">
        <x:v>timestamptz</x:v>
      </x:c>
      <x:c r="E18" s="19" t="str"/>
      <x:c r="F18" s="19" t="str">
        <x:v>NO</x:v>
      </x:c>
      <x:c r="G18" s="19" t="str">
        <x:v>Created timestamp</x:v>
      </x:c>
    </x:row>
    <x:row r="19">
      <x:c r="A19" s="19" t="str">
        <x:v>Existing / extended app</x:v>
      </x:c>
      <x:c r="B19" s="19" t="str">
        <x:v>labs</x:v>
      </x:c>
      <x:c r="C19" s="19" t="str">
        <x:v>id</x:v>
      </x:c>
      <x:c r="D19" s="19" t="str">
        <x:v>uuid</x:v>
      </x:c>
      <x:c r="E19" s="19" t="str">
        <x:v>PK</x:v>
      </x:c>
      <x:c r="F19" s="19" t="str">
        <x:v>NO</x:v>
      </x:c>
      <x:c r="G19" s="19" t="str">
        <x:v>Lab identifier</x:v>
      </x:c>
    </x:row>
    <x:row r="20">
      <x:c r="A20" s="19" t="str">
        <x:v>Existing / extended app</x:v>
      </x:c>
      <x:c r="B20" s="19" t="str">
        <x:v>labs</x:v>
      </x:c>
      <x:c r="C20" s="19" t="str">
        <x:v>name</x:v>
      </x:c>
      <x:c r="D20" s="19" t="str">
        <x:v>text</x:v>
      </x:c>
      <x:c r="E20" s="19" t="str"/>
      <x:c r="F20" s="19" t="str">
        <x:v>NO</x:v>
      </x:c>
      <x:c r="G20" s="19" t="str">
        <x:v>Lab name</x:v>
      </x:c>
    </x:row>
    <x:row r="21">
      <x:c r="A21" s="19" t="str">
        <x:v>Existing / extended app</x:v>
      </x:c>
      <x:c r="B21" s="19" t="str">
        <x:v>labs</x:v>
      </x:c>
      <x:c r="C21" s="19" t="str">
        <x:v>node_id</x:v>
      </x:c>
      <x:c r="D21" s="19" t="str">
        <x:v>uuid</x:v>
      </x:c>
      <x:c r="E21" s="19" t="str">
        <x:v>FK -&gt; campus_nodes.id</x:v>
      </x:c>
      <x:c r="F21" s="19" t="str">
        <x:v>YES</x:v>
      </x:c>
      <x:c r="G21" s="19" t="str">
        <x:v>Graph location</x:v>
      </x:c>
    </x:row>
    <x:row r="22">
      <x:c r="A22" s="19" t="str">
        <x:v>Existing / extended app</x:v>
      </x:c>
      <x:c r="B22" s="19" t="str">
        <x:v>labs</x:v>
      </x:c>
      <x:c r="C22" s="19" t="str">
        <x:v>capacity</x:v>
      </x:c>
      <x:c r="D22" s="19" t="str">
        <x:v>int</x:v>
      </x:c>
      <x:c r="E22" s="19" t="str"/>
      <x:c r="F22" s="19" t="str">
        <x:v>NO</x:v>
      </x:c>
      <x:c r="G22" s="19" t="str">
        <x:v>Capacity</x:v>
      </x:c>
    </x:row>
    <x:row r="23">
      <x:c r="A23" s="19" t="str">
        <x:v>Existing / extended app</x:v>
      </x:c>
      <x:c r="B23" s="19" t="str">
        <x:v>labs</x:v>
      </x:c>
      <x:c r="C23" s="19" t="str">
        <x:v>lab_code</x:v>
      </x:c>
      <x:c r="D23" s="19" t="str">
        <x:v>text</x:v>
      </x:c>
      <x:c r="E23" s="19" t="str">
        <x:v>UNIQUE (proposed)</x:v>
      </x:c>
      <x:c r="F23" s="19" t="str">
        <x:v>NO</x:v>
      </x:c>
      <x:c r="G23" s="19" t="str">
        <x:v>D-01..D-12</x:v>
      </x:c>
    </x:row>
    <x:row r="24">
      <x:c r="A24" s="19" t="str">
        <x:v>Existing / extended app</x:v>
      </x:c>
      <x:c r="B24" s="19" t="str">
        <x:v>labs</x:v>
      </x:c>
      <x:c r="C24" s="19" t="str">
        <x:v>investment</x:v>
      </x:c>
      <x:c r="D24" s="19" t="str">
        <x:v>numeric</x:v>
      </x:c>
      <x:c r="E24" s="19" t="str">
        <x:v>proposed</x:v>
      </x:c>
      <x:c r="F24" s="19" t="str">
        <x:v>YES</x:v>
      </x:c>
      <x:c r="G24" s="19" t="str">
        <x:v>Source lab investment</x:v>
      </x:c>
    </x:row>
    <x:row r="25">
      <x:c r="A25" s="19" t="str">
        <x:v>Existing / extended app</x:v>
      </x:c>
      <x:c r="B25" s="19" t="str">
        <x:v>resources</x:v>
      </x:c>
      <x:c r="C25" s="19" t="str">
        <x:v>id</x:v>
      </x:c>
      <x:c r="D25" s="19" t="str">
        <x:v>uuid</x:v>
      </x:c>
      <x:c r="E25" s="19" t="str">
        <x:v>PK</x:v>
      </x:c>
      <x:c r="F25" s="19" t="str">
        <x:v>NO</x:v>
      </x:c>
      <x:c r="G25" s="19" t="str">
        <x:v>Bookable physical/logical resource</x:v>
      </x:c>
    </x:row>
    <x:row r="26">
      <x:c r="A26" s="19" t="str">
        <x:v>Existing / extended app</x:v>
      </x:c>
      <x:c r="B26" s="19" t="str">
        <x:v>resources</x:v>
      </x:c>
      <x:c r="C26" s="19" t="str">
        <x:v>lab_id</x:v>
      </x:c>
      <x:c r="D26" s="19" t="str">
        <x:v>uuid</x:v>
      </x:c>
      <x:c r="E26" s="19" t="str">
        <x:v>FK -&gt; labs.id</x:v>
      </x:c>
      <x:c r="F26" s="19" t="str">
        <x:v>NO</x:v>
      </x:c>
      <x:c r="G26" s="19" t="str">
        <x:v>Current lab</x:v>
      </x:c>
    </x:row>
    <x:row r="27">
      <x:c r="A27" s="19" t="str">
        <x:v>Existing / extended app</x:v>
      </x:c>
      <x:c r="B27" s="19" t="str">
        <x:v>resources</x:v>
      </x:c>
      <x:c r="C27" s="19" t="str">
        <x:v>label</x:v>
      </x:c>
      <x:c r="D27" s="19" t="str">
        <x:v>text</x:v>
      </x:c>
      <x:c r="E27" s="19" t="str"/>
      <x:c r="F27" s="19" t="str">
        <x:v>NO</x:v>
      </x:c>
      <x:c r="G27" s="19" t="str">
        <x:v>Resource label</x:v>
      </x:c>
    </x:row>
    <x:row r="28">
      <x:c r="A28" s="19" t="str">
        <x:v>Existing / extended app</x:v>
      </x:c>
      <x:c r="B28" s="19" t="str">
        <x:v>resources</x:v>
      </x:c>
      <x:c r="C28" s="19" t="str">
        <x:v>state</x:v>
      </x:c>
      <x:c r="D28" s="19" t="str">
        <x:v>text</x:v>
      </x:c>
      <x:c r="E28" s="19" t="str">
        <x:v>CHECK</x:v>
      </x:c>
      <x:c r="F28" s="19" t="str">
        <x:v>NO</x:v>
      </x:c>
      <x:c r="G28" s="19" t="str">
        <x:v>Availability state</x:v>
      </x:c>
    </x:row>
    <x:row r="29">
      <x:c r="A29" s="19" t="str">
        <x:v>Existing / extended app</x:v>
      </x:c>
      <x:c r="B29" s="19" t="str">
        <x:v>resources</x:v>
      </x:c>
      <x:c r="C29" s="19" t="str">
        <x:v>version</x:v>
      </x:c>
      <x:c r="D29" s="19" t="str">
        <x:v>int</x:v>
      </x:c>
      <x:c r="E29" s="19" t="str"/>
      <x:c r="F29" s="19" t="str">
        <x:v>NO</x:v>
      </x:c>
      <x:c r="G29" s="19" t="str">
        <x:v>Optimistic locking version</x:v>
      </x:c>
    </x:row>
    <x:row r="30">
      <x:c r="A30" s="19" t="str">
        <x:v>Existing / extended app</x:v>
      </x:c>
      <x:c r="B30" s="19" t="str">
        <x:v>resources</x:v>
      </x:c>
      <x:c r="C30" s="19" t="str">
        <x:v>updated_at</x:v>
      </x:c>
      <x:c r="D30" s="19" t="str">
        <x:v>timestamptz</x:v>
      </x:c>
      <x:c r="E30" s="19" t="str"/>
      <x:c r="F30" s="19" t="str">
        <x:v>NO</x:v>
      </x:c>
      <x:c r="G30" s="19" t="str">
        <x:v>Last update</x:v>
      </x:c>
    </x:row>
    <x:row r="31">
      <x:c r="A31" s="19" t="str">
        <x:v>Existing / extended app</x:v>
      </x:c>
      <x:c r="B31" s="19" t="str">
        <x:v>resources</x:v>
      </x:c>
      <x:c r="C31" s="19" t="str">
        <x:v>batch_id</x:v>
      </x:c>
      <x:c r="D31" s="19" t="str">
        <x:v>uuid</x:v>
      </x:c>
      <x:c r="E31" s="19" t="str">
        <x:v>FK -&gt; purchase_batches.id (proposed)</x:v>
      </x:c>
      <x:c r="F31" s="19" t="str">
        <x:v>YES</x:v>
      </x:c>
      <x:c r="G31" s="19" t="str">
        <x:v>Links operational resource to inventory batch</x:v>
      </x:c>
    </x:row>
    <x:row r="32">
      <x:c r="A32" s="19" t="str">
        <x:v>Existing / extended app</x:v>
      </x:c>
      <x:c r="B32" s="19" t="str">
        <x:v>resources</x:v>
      </x:c>
      <x:c r="C32" s="19" t="str">
        <x:v>serial_no</x:v>
      </x:c>
      <x:c r="D32" s="19" t="str">
        <x:v>text</x:v>
      </x:c>
      <x:c r="E32" s="19" t="str">
        <x:v>UNIQUE nullable (proposed)</x:v>
      </x:c>
      <x:c r="F32" s="19" t="str">
        <x:v>YES</x:v>
      </x:c>
      <x:c r="G32" s="19" t="str">
        <x:v>Atomic serial number</x:v>
      </x:c>
    </x:row>
    <x:row r="33">
      <x:c r="A33" s="19" t="str">
        <x:v>Existing / extended app</x:v>
      </x:c>
      <x:c r="B33" s="19" t="str">
        <x:v>bookings</x:v>
      </x:c>
      <x:c r="C33" s="19" t="str">
        <x:v>id</x:v>
      </x:c>
      <x:c r="D33" s="19" t="str">
        <x:v>uuid</x:v>
      </x:c>
      <x:c r="E33" s="19" t="str">
        <x:v>PK</x:v>
      </x:c>
      <x:c r="F33" s="19" t="str">
        <x:v>NO</x:v>
      </x:c>
      <x:c r="G33" s="19" t="str">
        <x:v>Booking</x:v>
      </x:c>
    </x:row>
    <x:row r="34">
      <x:c r="A34" s="19" t="str">
        <x:v>Existing / extended app</x:v>
      </x:c>
      <x:c r="B34" s="19" t="str">
        <x:v>bookings</x:v>
      </x:c>
      <x:c r="C34" s="19" t="str">
        <x:v>user_id</x:v>
      </x:c>
      <x:c r="D34" s="19" t="str">
        <x:v>uuid</x:v>
      </x:c>
      <x:c r="E34" s="19" t="str">
        <x:v>FK -&gt; profiles.id</x:v>
      </x:c>
      <x:c r="F34" s="19" t="str">
        <x:v>NO</x:v>
      </x:c>
      <x:c r="G34" s="19" t="str">
        <x:v>Requester</x:v>
      </x:c>
    </x:row>
    <x:row r="35">
      <x:c r="A35" s="19" t="str">
        <x:v>Existing / extended app</x:v>
      </x:c>
      <x:c r="B35" s="19" t="str">
        <x:v>bookings</x:v>
      </x:c>
      <x:c r="C35" s="19" t="str">
        <x:v>lab_id</x:v>
      </x:c>
      <x:c r="D35" s="19" t="str">
        <x:v>uuid</x:v>
      </x:c>
      <x:c r="E35" s="19" t="str">
        <x:v>FK -&gt; labs.id</x:v>
      </x:c>
      <x:c r="F35" s="19" t="str">
        <x:v>NO</x:v>
      </x:c>
      <x:c r="G35" s="19" t="str">
        <x:v>Requested lab</x:v>
      </x:c>
    </x:row>
    <x:row r="36">
      <x:c r="A36" s="19" t="str">
        <x:v>Existing / extended app</x:v>
      </x:c>
      <x:c r="B36" s="19" t="str">
        <x:v>bookings</x:v>
      </x:c>
      <x:c r="C36" s="19" t="str">
        <x:v>resource_id</x:v>
      </x:c>
      <x:c r="D36" s="19" t="str">
        <x:v>uuid</x:v>
      </x:c>
      <x:c r="E36" s="19" t="str">
        <x:v>FK -&gt; resources.id</x:v>
      </x:c>
      <x:c r="F36" s="19" t="str">
        <x:v>YES</x:v>
      </x:c>
      <x:c r="G36" s="19" t="str">
        <x:v>Allocated resource</x:v>
      </x:c>
    </x:row>
    <x:row r="37">
      <x:c r="A37" s="19" t="str">
        <x:v>Existing / extended app</x:v>
      </x:c>
      <x:c r="B37" s="19" t="str">
        <x:v>bookings</x:v>
      </x:c>
      <x:c r="C37" s="19" t="str">
        <x:v>state</x:v>
      </x:c>
      <x:c r="D37" s="19" t="str">
        <x:v>text</x:v>
      </x:c>
      <x:c r="E37" s="19" t="str">
        <x:v>CHECK</x:v>
      </x:c>
      <x:c r="F37" s="19" t="str">
        <x:v>NO</x:v>
      </x:c>
      <x:c r="G37" s="19" t="str">
        <x:v>Booking state</x:v>
      </x:c>
    </x:row>
    <x:row r="38">
      <x:c r="A38" s="19" t="str">
        <x:v>Existing / extended app</x:v>
      </x:c>
      <x:c r="B38" s="19" t="str">
        <x:v>bookings</x:v>
      </x:c>
      <x:c r="C38" s="19" t="str">
        <x:v>priority</x:v>
      </x:c>
      <x:c r="D38" s="19" t="str">
        <x:v>int</x:v>
      </x:c>
      <x:c r="E38" s="19" t="str"/>
      <x:c r="F38" s="19" t="str">
        <x:v>NO</x:v>
      </x:c>
      <x:c r="G38" s="19" t="str">
        <x:v>Scheduling priority</x:v>
      </x:c>
    </x:row>
    <x:row r="39">
      <x:c r="A39" s="19" t="str">
        <x:v>Existing / extended app</x:v>
      </x:c>
      <x:c r="B39" s="19" t="str">
        <x:v>bookings</x:v>
      </x:c>
      <x:c r="C39" s="19" t="str">
        <x:v>start_at</x:v>
      </x:c>
      <x:c r="D39" s="19" t="str">
        <x:v>timestamptz</x:v>
      </x:c>
      <x:c r="E39" s="19" t="str"/>
      <x:c r="F39" s="19" t="str">
        <x:v>NO</x:v>
      </x:c>
      <x:c r="G39" s="19" t="str">
        <x:v>Start</x:v>
      </x:c>
    </x:row>
    <x:row r="40">
      <x:c r="A40" s="19" t="str">
        <x:v>Existing / extended app</x:v>
      </x:c>
      <x:c r="B40" s="19" t="str">
        <x:v>bookings</x:v>
      </x:c>
      <x:c r="C40" s="19" t="str">
        <x:v>end_at</x:v>
      </x:c>
      <x:c r="D40" s="19" t="str">
        <x:v>timestamptz</x:v>
      </x:c>
      <x:c r="E40" s="19" t="str"/>
      <x:c r="F40" s="19" t="str">
        <x:v>NO</x:v>
      </x:c>
      <x:c r="G40" s="19" t="str">
        <x:v>End</x:v>
      </x:c>
    </x:row>
    <x:row r="41">
      <x:c r="A41" s="19" t="str">
        <x:v>Existing / extended app</x:v>
      </x:c>
      <x:c r="B41" s="19" t="str">
        <x:v>bookings</x:v>
      </x:c>
      <x:c r="C41" s="19" t="str">
        <x:v>idempotency_key</x:v>
      </x:c>
      <x:c r="D41" s="19" t="str">
        <x:v>text</x:v>
      </x:c>
      <x:c r="E41" s="19" t="str">
        <x:v>UNIQUE</x:v>
      </x:c>
      <x:c r="F41" s="19" t="str">
        <x:v>NO</x:v>
      </x:c>
      <x:c r="G41" s="19" t="str">
        <x:v>Prevents duplicates</x:v>
      </x:c>
    </x:row>
    <x:row r="42">
      <x:c r="A42" s="19" t="str">
        <x:v>Existing / extended app</x:v>
      </x:c>
      <x:c r="B42" s="19" t="str">
        <x:v>bookings</x:v>
      </x:c>
      <x:c r="C42" s="19" t="str">
        <x:v>created_at</x:v>
      </x:c>
      <x:c r="D42" s="19" t="str">
        <x:v>timestamptz</x:v>
      </x:c>
      <x:c r="E42" s="19" t="str"/>
      <x:c r="F42" s="19" t="str">
        <x:v>NO</x:v>
      </x:c>
      <x:c r="G42" s="19" t="str">
        <x:v>Created</x:v>
      </x:c>
    </x:row>
    <x:row r="43">
      <x:c r="A43" s="19" t="str">
        <x:v>Existing / extended app</x:v>
      </x:c>
      <x:c r="B43" s="19" t="str">
        <x:v>bookings</x:v>
      </x:c>
      <x:c r="C43" s="19" t="str">
        <x:v>updated_at</x:v>
      </x:c>
      <x:c r="D43" s="19" t="str">
        <x:v>timestamptz</x:v>
      </x:c>
      <x:c r="E43" s="19" t="str"/>
      <x:c r="F43" s="19" t="str">
        <x:v>NO</x:v>
      </x:c>
      <x:c r="G43" s="19" t="str">
        <x:v>Updated</x:v>
      </x:c>
    </x:row>
    <x:row r="44">
      <x:c r="A44" s="19" t="str">
        <x:v>Existing / extended app</x:v>
      </x:c>
      <x:c r="B44" s="19" t="str">
        <x:v>scheduling_decisions</x:v>
      </x:c>
      <x:c r="C44" s="19" t="str">
        <x:v>id</x:v>
      </x:c>
      <x:c r="D44" s="19" t="str">
        <x:v>uuid</x:v>
      </x:c>
      <x:c r="E44" s="19" t="str">
        <x:v>PK</x:v>
      </x:c>
      <x:c r="F44" s="19" t="str">
        <x:v>NO</x:v>
      </x:c>
      <x:c r="G44" s="19" t="str">
        <x:v>Decision</x:v>
      </x:c>
    </x:row>
    <x:row r="45">
      <x:c r="A45" s="19" t="str">
        <x:v>Existing / extended app</x:v>
      </x:c>
      <x:c r="B45" s="19" t="str">
        <x:v>scheduling_decisions</x:v>
      </x:c>
      <x:c r="C45" s="19" t="str">
        <x:v>booking_id</x:v>
      </x:c>
      <x:c r="D45" s="19" t="str">
        <x:v>uuid</x:v>
      </x:c>
      <x:c r="E45" s="19" t="str">
        <x:v>FK -&gt; bookings.id</x:v>
      </x:c>
      <x:c r="F45" s="19" t="str">
        <x:v>NO</x:v>
      </x:c>
      <x:c r="G45" s="19" t="str">
        <x:v>Booking</x:v>
      </x:c>
    </x:row>
    <x:row r="46">
      <x:c r="A46" s="19" t="str">
        <x:v>Existing / extended app</x:v>
      </x:c>
      <x:c r="B46" s="19" t="str">
        <x:v>scheduling_decisions</x:v>
      </x:c>
      <x:c r="C46" s="19" t="str">
        <x:v>request_id</x:v>
      </x:c>
      <x:c r="D46" s="19" t="str">
        <x:v>text</x:v>
      </x:c>
      <x:c r="E46" s="19" t="str"/>
      <x:c r="F46" s="19" t="str">
        <x:v>NO</x:v>
      </x:c>
      <x:c r="G46" s="19" t="str">
        <x:v>Scheduler request</x:v>
      </x:c>
    </x:row>
    <x:row r="47">
      <x:c r="A47" s="19" t="str">
        <x:v>Existing / extended app</x:v>
      </x:c>
      <x:c r="B47" s="19" t="str">
        <x:v>scheduling_decisions</x:v>
      </x:c>
      <x:c r="C47" s="19" t="str">
        <x:v>policy</x:v>
      </x:c>
      <x:c r="D47" s="19" t="str">
        <x:v>text</x:v>
      </x:c>
      <x:c r="E47" s="19" t="str"/>
      <x:c r="F47" s="19" t="str">
        <x:v>NO</x:v>
      </x:c>
      <x:c r="G47" s="19" t="str">
        <x:v>FCFS/SJF/RR/Priority</x:v>
      </x:c>
    </x:row>
    <x:row r="48">
      <x:c r="A48" s="19" t="str">
        <x:v>Existing / extended app</x:v>
      </x:c>
      <x:c r="B48" s="19" t="str">
        <x:v>scheduling_decisions</x:v>
      </x:c>
      <x:c r="C48" s="19" t="str">
        <x:v>decision</x:v>
      </x:c>
      <x:c r="D48" s="19" t="str">
        <x:v>text</x:v>
      </x:c>
      <x:c r="E48" s="19" t="str"/>
      <x:c r="F48" s="19" t="str">
        <x:v>NO</x:v>
      </x:c>
      <x:c r="G48" s="19" t="str">
        <x:v>Allocated/waitlisted/rejected</x:v>
      </x:c>
    </x:row>
    <x:row r="49">
      <x:c r="A49" s="19" t="str">
        <x:v>Existing / extended app</x:v>
      </x:c>
      <x:c r="B49" s="19" t="str">
        <x:v>scheduling_decisions</x:v>
      </x:c>
      <x:c r="C49" s="19" t="str">
        <x:v>lease_id</x:v>
      </x:c>
      <x:c r="D49" s="19" t="str">
        <x:v>text</x:v>
      </x:c>
      <x:c r="E49" s="19" t="str"/>
      <x:c r="F49" s="19" t="str">
        <x:v>YES</x:v>
      </x:c>
      <x:c r="G49" s="19" t="str">
        <x:v>Lease</x:v>
      </x:c>
    </x:row>
    <x:row r="50">
      <x:c r="A50" s="19" t="str">
        <x:v>Existing / extended app</x:v>
      </x:c>
      <x:c r="B50" s="19" t="str">
        <x:v>scheduling_decisions</x:v>
      </x:c>
      <x:c r="C50" s="19" t="str">
        <x:v>metrics</x:v>
      </x:c>
      <x:c r="D50" s="19" t="str">
        <x:v>jsonb</x:v>
      </x:c>
      <x:c r="E50" s="19" t="str"/>
      <x:c r="F50" s="19" t="str">
        <x:v>YES</x:v>
      </x:c>
      <x:c r="G50" s="19" t="str">
        <x:v>Scheduler metrics</x:v>
      </x:c>
    </x:row>
    <x:row r="51">
      <x:c r="A51" s="19" t="str">
        <x:v>Existing / extended app</x:v>
      </x:c>
      <x:c r="B51" s="19" t="str">
        <x:v>scheduling_decisions</x:v>
      </x:c>
      <x:c r="C51" s="19" t="str">
        <x:v>created_at</x:v>
      </x:c>
      <x:c r="D51" s="19" t="str">
        <x:v>timestamptz</x:v>
      </x:c>
      <x:c r="E51" s="19" t="str"/>
      <x:c r="F51" s="19" t="str">
        <x:v>NO</x:v>
      </x:c>
      <x:c r="G51" s="19" t="str">
        <x:v>Created</x:v>
      </x:c>
    </x:row>
    <x:row r="52">
      <x:c r="A52" s="19" t="str">
        <x:v>Existing / extended app</x:v>
      </x:c>
      <x:c r="B52" s="19" t="str">
        <x:v>routes</x:v>
      </x:c>
      <x:c r="C52" s="19" t="str">
        <x:v>id</x:v>
      </x:c>
      <x:c r="D52" s="19" t="str">
        <x:v>uuid</x:v>
      </x:c>
      <x:c r="E52" s="19" t="str">
        <x:v>PK</x:v>
      </x:c>
      <x:c r="F52" s="19" t="str">
        <x:v>NO</x:v>
      </x:c>
      <x:c r="G52" s="19" t="str">
        <x:v>Route</x:v>
      </x:c>
    </x:row>
    <x:row r="53">
      <x:c r="A53" s="19" t="str">
        <x:v>Existing / extended app</x:v>
      </x:c>
      <x:c r="B53" s="19" t="str">
        <x:v>routes</x:v>
      </x:c>
      <x:c r="C53" s="19" t="str">
        <x:v>booking_id</x:v>
      </x:c>
      <x:c r="D53" s="19" t="str">
        <x:v>uuid</x:v>
      </x:c>
      <x:c r="E53" s="19" t="str">
        <x:v>FK -&gt; bookings.id</x:v>
      </x:c>
      <x:c r="F53" s="19" t="str">
        <x:v>YES</x:v>
      </x:c>
      <x:c r="G53" s="19" t="str">
        <x:v>Booking</x:v>
      </x:c>
    </x:row>
    <x:row r="54">
      <x:c r="A54" s="19" t="str">
        <x:v>Existing / extended app</x:v>
      </x:c>
      <x:c r="B54" s="19" t="str">
        <x:v>routes</x:v>
      </x:c>
      <x:c r="C54" s="19" t="str">
        <x:v>origin_node</x:v>
      </x:c>
      <x:c r="D54" s="19" t="str">
        <x:v>uuid</x:v>
      </x:c>
      <x:c r="E54" s="19" t="str">
        <x:v>FK -&gt; campus_nodes.id</x:v>
      </x:c>
      <x:c r="F54" s="19" t="str">
        <x:v>YES</x:v>
      </x:c>
      <x:c r="G54" s="19" t="str">
        <x:v>Origin</x:v>
      </x:c>
    </x:row>
    <x:row r="55">
      <x:c r="A55" s="19" t="str">
        <x:v>Existing / extended app</x:v>
      </x:c>
      <x:c r="B55" s="19" t="str">
        <x:v>routes</x:v>
      </x:c>
      <x:c r="C55" s="19" t="str">
        <x:v>destination_node</x:v>
      </x:c>
      <x:c r="D55" s="19" t="str">
        <x:v>uuid</x:v>
      </x:c>
      <x:c r="E55" s="19" t="str">
        <x:v>FK -&gt; campus_nodes.id</x:v>
      </x:c>
      <x:c r="F55" s="19" t="str">
        <x:v>YES</x:v>
      </x:c>
      <x:c r="G55" s="19" t="str">
        <x:v>Destination</x:v>
      </x:c>
    </x:row>
    <x:row r="56">
      <x:c r="A56" s="19" t="str">
        <x:v>Existing / extended app</x:v>
      </x:c>
      <x:c r="B56" s="19" t="str">
        <x:v>routes</x:v>
      </x:c>
      <x:c r="C56" s="19" t="str">
        <x:v>algorithm</x:v>
      </x:c>
      <x:c r="D56" s="19" t="str">
        <x:v>text</x:v>
      </x:c>
      <x:c r="E56" s="19" t="str"/>
      <x:c r="F56" s="19" t="str">
        <x:v>NO</x:v>
      </x:c>
      <x:c r="G56" s="19" t="str">
        <x:v>Dijkstra/Bellman-Ford</x:v>
      </x:c>
    </x:row>
    <x:row r="57">
      <x:c r="A57" s="19" t="str">
        <x:v>Existing / extended app</x:v>
      </x:c>
      <x:c r="B57" s="19" t="str">
        <x:v>routes</x:v>
      </x:c>
      <x:c r="C57" s="19" t="str">
        <x:v>path</x:v>
      </x:c>
      <x:c r="D57" s="19" t="str">
        <x:v>jsonb</x:v>
      </x:c>
      <x:c r="E57" s="19" t="str"/>
      <x:c r="F57" s="19" t="str">
        <x:v>NO</x:v>
      </x:c>
      <x:c r="G57" s="19" t="str">
        <x:v>Path</x:v>
      </x:c>
    </x:row>
    <x:row r="58">
      <x:c r="A58" s="19" t="str">
        <x:v>Existing / extended app</x:v>
      </x:c>
      <x:c r="B58" s="19" t="str">
        <x:v>routes</x:v>
      </x:c>
      <x:c r="C58" s="19" t="str">
        <x:v>cost</x:v>
      </x:c>
      <x:c r="D58" s="19" t="str">
        <x:v>numeric</x:v>
      </x:c>
      <x:c r="E58" s="19" t="str"/>
      <x:c r="F58" s="19" t="str">
        <x:v>NO</x:v>
      </x:c>
      <x:c r="G58" s="19" t="str">
        <x:v>Route cost</x:v>
      </x:c>
    </x:row>
    <x:row r="59">
      <x:c r="A59" s="19" t="str">
        <x:v>Existing / extended app</x:v>
      </x:c>
      <x:c r="B59" s="19" t="str">
        <x:v>routes</x:v>
      </x:c>
      <x:c r="C59" s="19" t="str">
        <x:v>created_at</x:v>
      </x:c>
      <x:c r="D59" s="19" t="str">
        <x:v>timestamptz</x:v>
      </x:c>
      <x:c r="E59" s="19" t="str"/>
      <x:c r="F59" s="19" t="str">
        <x:v>NO</x:v>
      </x:c>
      <x:c r="G59" s="19" t="str">
        <x:v>Created</x:v>
      </x:c>
    </x:row>
    <x:row r="60">
      <x:c r="A60" s="19" t="str">
        <x:v>Existing / extended app</x:v>
      </x:c>
      <x:c r="B60" s="19" t="str">
        <x:v>audit_log</x:v>
      </x:c>
      <x:c r="C60" s="19" t="str">
        <x:v>id</x:v>
      </x:c>
      <x:c r="D60" s="19" t="str">
        <x:v>uuid</x:v>
      </x:c>
      <x:c r="E60" s="19" t="str">
        <x:v>PK</x:v>
      </x:c>
      <x:c r="F60" s="19" t="str">
        <x:v>NO</x:v>
      </x:c>
      <x:c r="G60" s="19" t="str">
        <x:v>Audit row</x:v>
      </x:c>
    </x:row>
    <x:row r="61">
      <x:c r="A61" s="19" t="str">
        <x:v>Existing / extended app</x:v>
      </x:c>
      <x:c r="B61" s="19" t="str">
        <x:v>audit_log</x:v>
      </x:c>
      <x:c r="C61" s="19" t="str">
        <x:v>actor_id</x:v>
      </x:c>
      <x:c r="D61" s="19" t="str">
        <x:v>uuid</x:v>
      </x:c>
      <x:c r="E61" s="19" t="str">
        <x:v>FK -&gt; profiles.id</x:v>
      </x:c>
      <x:c r="F61" s="19" t="str">
        <x:v>YES</x:v>
      </x:c>
      <x:c r="G61" s="19" t="str">
        <x:v>Actor</x:v>
      </x:c>
    </x:row>
    <x:row r="62">
      <x:c r="A62" s="19" t="str">
        <x:v>Existing / extended app</x:v>
      </x:c>
      <x:c r="B62" s="19" t="str">
        <x:v>audit_log</x:v>
      </x:c>
      <x:c r="C62" s="19" t="str">
        <x:v>action</x:v>
      </x:c>
      <x:c r="D62" s="19" t="str">
        <x:v>text</x:v>
      </x:c>
      <x:c r="E62" s="19" t="str"/>
      <x:c r="F62" s="19" t="str">
        <x:v>NO</x:v>
      </x:c>
      <x:c r="G62" s="19" t="str">
        <x:v>Action</x:v>
      </x:c>
    </x:row>
    <x:row r="63">
      <x:c r="A63" s="19" t="str">
        <x:v>Existing / extended app</x:v>
      </x:c>
      <x:c r="B63" s="19" t="str">
        <x:v>audit_log</x:v>
      </x:c>
      <x:c r="C63" s="19" t="str">
        <x:v>before</x:v>
      </x:c>
      <x:c r="D63" s="19" t="str">
        <x:v>jsonb</x:v>
      </x:c>
      <x:c r="E63" s="19" t="str"/>
      <x:c r="F63" s="19" t="str">
        <x:v>YES</x:v>
      </x:c>
      <x:c r="G63" s="19" t="str">
        <x:v>Before</x:v>
      </x:c>
    </x:row>
    <x:row r="64">
      <x:c r="A64" s="19" t="str">
        <x:v>Existing / extended app</x:v>
      </x:c>
      <x:c r="B64" s="19" t="str">
        <x:v>audit_log</x:v>
      </x:c>
      <x:c r="C64" s="19" t="str">
        <x:v>after</x:v>
      </x:c>
      <x:c r="D64" s="19" t="str">
        <x:v>jsonb</x:v>
      </x:c>
      <x:c r="E64" s="19" t="str"/>
      <x:c r="F64" s="19" t="str">
        <x:v>YES</x:v>
      </x:c>
      <x:c r="G64" s="19" t="str">
        <x:v>After</x:v>
      </x:c>
    </x:row>
    <x:row r="65">
      <x:c r="A65" s="19" t="str">
        <x:v>Existing / extended app</x:v>
      </x:c>
      <x:c r="B65" s="19" t="str">
        <x:v>audit_log</x:v>
      </x:c>
      <x:c r="C65" s="19" t="str">
        <x:v>correlation_id</x:v>
      </x:c>
      <x:c r="D65" s="19" t="str">
        <x:v>text</x:v>
      </x:c>
      <x:c r="E65" s="19" t="str"/>
      <x:c r="F65" s="19" t="str">
        <x:v>NO</x:v>
      </x:c>
      <x:c r="G65" s="19" t="str">
        <x:v>Trace id</x:v>
      </x:c>
    </x:row>
    <x:row r="66">
      <x:c r="A66" s="19" t="str">
        <x:v>Existing / extended app</x:v>
      </x:c>
      <x:c r="B66" s="19" t="str">
        <x:v>audit_log</x:v>
      </x:c>
      <x:c r="C66" s="19" t="str">
        <x:v>created_at</x:v>
      </x:c>
      <x:c r="D66" s="19" t="str">
        <x:v>timestamptz</x:v>
      </x:c>
      <x:c r="E66" s="19" t="str"/>
      <x:c r="F66" s="19" t="str">
        <x:v>NO</x:v>
      </x:c>
      <x:c r="G66" s="19" t="str">
        <x:v>Created</x:v>
      </x:c>
    </x:row>
    <x:row r="67">
      <x:c r="A67" s="19" t="str">
        <x:v>Proposed inventory 3NF</x:v>
      </x:c>
      <x:c r="B67" s="19" t="str">
        <x:v>equipment_categories</x:v>
      </x:c>
      <x:c r="C67" s="19" t="str">
        <x:v>id</x:v>
      </x:c>
      <x:c r="D67" s="19" t="str">
        <x:v>uuid</x:v>
      </x:c>
      <x:c r="E67" s="19" t="str">
        <x:v>PK</x:v>
      </x:c>
      <x:c r="F67" s="19" t="str">
        <x:v>NO</x:v>
      </x:c>
      <x:c r="G67" s="19" t="str">
        <x:v>Category</x:v>
      </x:c>
    </x:row>
    <x:row r="68">
      <x:c r="A68" s="19" t="str">
        <x:v>Proposed inventory 3NF</x:v>
      </x:c>
      <x:c r="B68" s="19" t="str">
        <x:v>equipment_categories</x:v>
      </x:c>
      <x:c r="C68" s="19" t="str">
        <x:v>name</x:v>
      </x:c>
      <x:c r="D68" s="19" t="str">
        <x:v>text</x:v>
      </x:c>
      <x:c r="E68" s="19" t="str">
        <x:v>UNIQUE</x:v>
      </x:c>
      <x:c r="F68" s="19" t="str">
        <x:v>NO</x:v>
      </x:c>
      <x:c r="G68" s="19" t="str">
        <x:v>Computer/Laptop/etc.</x:v>
      </x:c>
    </x:row>
    <x:row r="69">
      <x:c r="A69" s="19" t="str">
        <x:v>Proposed inventory 3NF</x:v>
      </x:c>
      <x:c r="B69" s="19" t="str">
        <x:v>suppliers</x:v>
      </x:c>
      <x:c r="C69" s="19" t="str">
        <x:v>id</x:v>
      </x:c>
      <x:c r="D69" s="19" t="str">
        <x:v>uuid</x:v>
      </x:c>
      <x:c r="E69" s="19" t="str">
        <x:v>PK</x:v>
      </x:c>
      <x:c r="F69" s="19" t="str">
        <x:v>NO</x:v>
      </x:c>
      <x:c r="G69" s="19" t="str">
        <x:v>Supplier</x:v>
      </x:c>
    </x:row>
    <x:row r="70">
      <x:c r="A70" s="19" t="str">
        <x:v>Proposed inventory 3NF</x:v>
      </x:c>
      <x:c r="B70" s="19" t="str">
        <x:v>suppliers</x:v>
      </x:c>
      <x:c r="C70" s="19" t="str">
        <x:v>name</x:v>
      </x:c>
      <x:c r="D70" s="19" t="str">
        <x:v>text</x:v>
      </x:c>
      <x:c r="E70" s="19" t="str"/>
      <x:c r="F70" s="19" t="str">
        <x:v>NO</x:v>
      </x:c>
      <x:c r="G70" s="19" t="str">
        <x:v>Normalized supplier</x:v>
      </x:c>
    </x:row>
    <x:row r="71">
      <x:c r="A71" s="19" t="str">
        <x:v>Proposed inventory 3NF</x:v>
      </x:c>
      <x:c r="B71" s="19" t="str">
        <x:v>suppliers</x:v>
      </x:c>
      <x:c r="C71" s="19" t="str">
        <x:v>gstin</x:v>
      </x:c>
      <x:c r="D71" s="19" t="str">
        <x:v>text</x:v>
      </x:c>
      <x:c r="E71" s="19" t="str">
        <x:v>UNIQUE nullable</x:v>
      </x:c>
      <x:c r="F71" s="19" t="str">
        <x:v>YES</x:v>
      </x:c>
      <x:c r="G71" s="19" t="str">
        <x:v>GSTIN</x:v>
      </x:c>
    </x:row>
    <x:row r="72">
      <x:c r="A72" s="19" t="str">
        <x:v>Proposed inventory 3NF</x:v>
      </x:c>
      <x:c r="B72" s="19" t="str">
        <x:v>suppliers</x:v>
      </x:c>
      <x:c r="C72" s="19" t="str">
        <x:v>address</x:v>
      </x:c>
      <x:c r="D72" s="19" t="str">
        <x:v>text</x:v>
      </x:c>
      <x:c r="E72" s="19" t="str"/>
      <x:c r="F72" s="19" t="str">
        <x:v>YES</x:v>
      </x:c>
      <x:c r="G72" s="19" t="str">
        <x:v>Supplier address</x:v>
      </x:c>
    </x:row>
    <x:row r="73">
      <x:c r="A73" s="19" t="str">
        <x:v>Proposed inventory 3NF</x:v>
      </x:c>
      <x:c r="B73" s="19" t="str">
        <x:v>equipment_models</x:v>
      </x:c>
      <x:c r="C73" s="19" t="str">
        <x:v>id</x:v>
      </x:c>
      <x:c r="D73" s="19" t="str">
        <x:v>uuid</x:v>
      </x:c>
      <x:c r="E73" s="19" t="str">
        <x:v>PK</x:v>
      </x:c>
      <x:c r="F73" s="19" t="str">
        <x:v>NO</x:v>
      </x:c>
      <x:c r="G73" s="19" t="str">
        <x:v>Model/config</x:v>
      </x:c>
    </x:row>
    <x:row r="74">
      <x:c r="A74" s="19" t="str">
        <x:v>Proposed inventory 3NF</x:v>
      </x:c>
      <x:c r="B74" s="19" t="str">
        <x:v>equipment_models</x:v>
      </x:c>
      <x:c r="C74" s="19" t="str">
        <x:v>category_id</x:v>
      </x:c>
      <x:c r="D74" s="19" t="str">
        <x:v>uuid</x:v>
      </x:c>
      <x:c r="E74" s="19" t="str">
        <x:v>FK -&gt; equipment_categories.id</x:v>
      </x:c>
      <x:c r="F74" s="19" t="str">
        <x:v>NO</x:v>
      </x:c>
      <x:c r="G74" s="19" t="str">
        <x:v>Category</x:v>
      </x:c>
    </x:row>
    <x:row r="75">
      <x:c r="A75" s="19" t="str">
        <x:v>Proposed inventory 3NF</x:v>
      </x:c>
      <x:c r="B75" s="19" t="str">
        <x:v>equipment_models</x:v>
      </x:c>
      <x:c r="C75" s="19" t="str">
        <x:v>brand</x:v>
      </x:c>
      <x:c r="D75" s="19" t="str">
        <x:v>text</x:v>
      </x:c>
      <x:c r="E75" s="19" t="str"/>
      <x:c r="F75" s="19" t="str">
        <x:v>YES</x:v>
      </x:c>
      <x:c r="G75" s="19" t="str">
        <x:v>Brand</x:v>
      </x:c>
    </x:row>
    <x:row r="76">
      <x:c r="A76" s="19" t="str">
        <x:v>Proposed inventory 3NF</x:v>
      </x:c>
      <x:c r="B76" s="19" t="str">
        <x:v>equipment_models</x:v>
      </x:c>
      <x:c r="C76" s="19" t="str">
        <x:v>model_name</x:v>
      </x:c>
      <x:c r="D76" s="19" t="str">
        <x:v>text</x:v>
      </x:c>
      <x:c r="E76" s="19" t="str"/>
      <x:c r="F76" s="19" t="str">
        <x:v>NO</x:v>
      </x:c>
      <x:c r="G76" s="19" t="str">
        <x:v>Model</x:v>
      </x:c>
    </x:row>
    <x:row r="77">
      <x:c r="A77" s="19" t="str">
        <x:v>Proposed inventory 3NF</x:v>
      </x:c>
      <x:c r="B77" s="19" t="str">
        <x:v>equipment_models</x:v>
      </x:c>
      <x:c r="C77" s="19" t="str">
        <x:v>config_key</x:v>
      </x:c>
      <x:c r="D77" s="19" t="str">
        <x:v>text</x:v>
      </x:c>
      <x:c r="E77" s="19" t="str">
        <x:v>UNIQUE</x:v>
      </x:c>
      <x:c r="F77" s="19" t="str">
        <x:v>NO</x:v>
      </x:c>
      <x:c r="G77" s="19" t="str">
        <x:v>Config fingerprint</x:v>
      </x:c>
    </x:row>
    <x:row r="78">
      <x:c r="A78" s="19" t="str">
        <x:v>Proposed inventory 3NF</x:v>
      </x:c>
      <x:c r="B78" s="19" t="str">
        <x:v>purchase_batches</x:v>
      </x:c>
      <x:c r="C78" s="19" t="str">
        <x:v>id</x:v>
      </x:c>
      <x:c r="D78" s="19" t="str">
        <x:v>uuid</x:v>
      </x:c>
      <x:c r="E78" s="19" t="str">
        <x:v>PK</x:v>
      </x:c>
      <x:c r="F78" s="19" t="str">
        <x:v>NO</x:v>
      </x:c>
      <x:c r="G78" s="19" t="str">
        <x:v>Dead-stock/acquisition batch</x:v>
      </x:c>
    </x:row>
    <x:row r="79">
      <x:c r="A79" s="19" t="str">
        <x:v>Proposed inventory 3NF</x:v>
      </x:c>
      <x:c r="B79" s="19" t="str">
        <x:v>purchase_batches</x:v>
      </x:c>
      <x:c r="C79" s="19" t="str">
        <x:v>acquisition_lab_id</x:v>
      </x:c>
      <x:c r="D79" s="19" t="str">
        <x:v>uuid</x:v>
      </x:c>
      <x:c r="E79" s="19" t="str">
        <x:v>FK -&gt; labs.id</x:v>
      </x:c>
      <x:c r="F79" s="19" t="str">
        <x:v>NO</x:v>
      </x:c>
      <x:c r="G79" s="19" t="str">
        <x:v>Original lab</x:v>
      </x:c>
    </x:row>
    <x:row r="80">
      <x:c r="A80" s="19" t="str">
        <x:v>Proposed inventory 3NF</x:v>
      </x:c>
      <x:c r="B80" s="19" t="str">
        <x:v>purchase_batches</x:v>
      </x:c>
      <x:c r="C80" s="19" t="str">
        <x:v>model_id</x:v>
      </x:c>
      <x:c r="D80" s="19" t="str">
        <x:v>uuid</x:v>
      </x:c>
      <x:c r="E80" s="19" t="str">
        <x:v>FK -&gt; equipment_models.id</x:v>
      </x:c>
      <x:c r="F80" s="19" t="str">
        <x:v>NO</x:v>
      </x:c>
      <x:c r="G80" s="19" t="str">
        <x:v>Equipment model/config</x:v>
      </x:c>
    </x:row>
    <x:row r="81">
      <x:c r="A81" s="19" t="str">
        <x:v>Proposed inventory 3NF</x:v>
      </x:c>
      <x:c r="B81" s="19" t="str">
        <x:v>purchase_batches</x:v>
      </x:c>
      <x:c r="C81" s="19" t="str">
        <x:v>supplier_id</x:v>
      </x:c>
      <x:c r="D81" s="19" t="str">
        <x:v>uuid</x:v>
      </x:c>
      <x:c r="E81" s="19" t="str">
        <x:v>FK -&gt; suppliers.id</x:v>
      </x:c>
      <x:c r="F81" s="19" t="str">
        <x:v>YES</x:v>
      </x:c>
      <x:c r="G81" s="19" t="str">
        <x:v>Supplier</x:v>
      </x:c>
    </x:row>
    <x:row r="82">
      <x:c r="A82" s="19" t="str">
        <x:v>Proposed inventory 3NF</x:v>
      </x:c>
      <x:c r="B82" s="19" t="str">
        <x:v>purchase_batches</x:v>
      </x:c>
      <x:c r="C82" s="19" t="str">
        <x:v>register_sr_no</x:v>
      </x:c>
      <x:c r="D82" s="19" t="str">
        <x:v>text</x:v>
      </x:c>
      <x:c r="E82" s="19" t="str"/>
      <x:c r="F82" s="19" t="str">
        <x:v>NO</x:v>
      </x:c>
      <x:c r="G82" s="19" t="str">
        <x:v>Dead-stock serial row</x:v>
      </x:c>
    </x:row>
    <x:row r="83">
      <x:c r="A83" s="19" t="str">
        <x:v>Proposed inventory 3NF</x:v>
      </x:c>
      <x:c r="B83" s="19" t="str">
        <x:v>purchase_batches</x:v>
      </x:c>
      <x:c r="C83" s="19" t="str">
        <x:v>purchase_date</x:v>
      </x:c>
      <x:c r="D83" s="19" t="str">
        <x:v>date</x:v>
      </x:c>
      <x:c r="E83" s="19" t="str"/>
      <x:c r="F83" s="19" t="str">
        <x:v>YES</x:v>
      </x:c>
      <x:c r="G83" s="19" t="str">
        <x:v>Purchase date</x:v>
      </x:c>
    </x:row>
    <x:row r="84">
      <x:c r="A84" s="19" t="str">
        <x:v>Proposed inventory 3NF</x:v>
      </x:c>
      <x:c r="B84" s="19" t="str">
        <x:v>purchase_batches</x:v>
      </x:c>
      <x:c r="C84" s="19" t="str">
        <x:v>reference_no</x:v>
      </x:c>
      <x:c r="D84" s="19" t="str">
        <x:v>text</x:v>
      </x:c>
      <x:c r="E84" s="19" t="str"/>
      <x:c r="F84" s="19" t="str">
        <x:v>YES</x:v>
      </x:c>
      <x:c r="G84" s="19" t="str">
        <x:v>Invoice/reference</x:v>
      </x:c>
    </x:row>
    <x:row r="85">
      <x:c r="A85" s="19" t="str">
        <x:v>Proposed inventory 3NF</x:v>
      </x:c>
      <x:c r="B85" s="19" t="str">
        <x:v>purchase_batches</x:v>
      </x:c>
      <x:c r="C85" s="19" t="str">
        <x:v>quantity_original</x:v>
      </x:c>
      <x:c r="D85" s="19" t="str">
        <x:v>int</x:v>
      </x:c>
      <x:c r="E85" s="19" t="str"/>
      <x:c r="F85" s="19" t="str">
        <x:v>YES</x:v>
      </x:c>
      <x:c r="G85" s="19" t="str">
        <x:v>Estimated original qty</x:v>
      </x:c>
    </x:row>
    <x:row r="86">
      <x:c r="A86" s="19" t="str">
        <x:v>Proposed inventory 3NF</x:v>
      </x:c>
      <x:c r="B86" s="19" t="str">
        <x:v>purchase_batches</x:v>
      </x:c>
      <x:c r="C86" s="19" t="str">
        <x:v>quantity_current</x:v>
      </x:c>
      <x:c r="D86" s="19" t="str">
        <x:v>int</x:v>
      </x:c>
      <x:c r="E86" s="19" t="str"/>
      <x:c r="F86" s="19" t="str">
        <x:v>YES</x:v>
      </x:c>
      <x:c r="G86" s="19" t="str">
        <x:v>Current snapshot qty</x:v>
      </x:c>
    </x:row>
    <x:row r="87">
      <x:c r="A87" s="19" t="str">
        <x:v>Proposed inventory 3NF</x:v>
      </x:c>
      <x:c r="B87" s="19" t="str">
        <x:v>purchase_batches</x:v>
      </x:c>
      <x:c r="C87" s="19" t="str">
        <x:v>unit_rate</x:v>
      </x:c>
      <x:c r="D87" s="19" t="str">
        <x:v>numeric</x:v>
      </x:c>
      <x:c r="E87" s="19" t="str"/>
      <x:c r="F87" s="19" t="str">
        <x:v>YES</x:v>
      </x:c>
      <x:c r="G87" s="19" t="str">
        <x:v>Unit rate</x:v>
      </x:c>
    </x:row>
    <x:row r="88">
      <x:c r="A88" s="19" t="str">
        <x:v>Proposed inventory 3NF</x:v>
      </x:c>
      <x:c r="B88" s="19" t="str">
        <x:v>purchase_batches</x:v>
      </x:c>
      <x:c r="C88" s="19" t="str">
        <x:v>total_cost</x:v>
      </x:c>
      <x:c r="D88" s="19" t="str">
        <x:v>numeric</x:v>
      </x:c>
      <x:c r="E88" s="19" t="str"/>
      <x:c r="F88" s="19" t="str">
        <x:v>YES</x:v>
      </x:c>
      <x:c r="G88" s="19" t="str">
        <x:v>Recorded total</x:v>
      </x:c>
    </x:row>
    <x:row r="89">
      <x:c r="A89" s="19" t="str">
        <x:v>Proposed inventory 3NF</x:v>
      </x:c>
      <x:c r="B89" s="19" t="str">
        <x:v>purchase_batches</x:v>
      </x:c>
      <x:c r="C89" s="19" t="str">
        <x:v>source_file</x:v>
      </x:c>
      <x:c r="D89" s="19" t="str">
        <x:v>text</x:v>
      </x:c>
      <x:c r="E89" s="19" t="str"/>
      <x:c r="F89" s="19" t="str">
        <x:v>NO</x:v>
      </x:c>
      <x:c r="G89" s="19" t="str">
        <x:v>Provenance</x:v>
      </x:c>
    </x:row>
    <x:row r="90">
      <x:c r="A90" s="19" t="str">
        <x:v>Proposed inventory 3NF</x:v>
      </x:c>
      <x:c r="B90" s="19" t="str">
        <x:v>purchase_batches</x:v>
      </x:c>
      <x:c r="C90" s="19" t="str">
        <x:v>source_page</x:v>
      </x:c>
      <x:c r="D90" s="19" t="str">
        <x:v>int</x:v>
      </x:c>
      <x:c r="E90" s="19" t="str"/>
      <x:c r="F90" s="19" t="str">
        <x:v>NO</x:v>
      </x:c>
      <x:c r="G90" s="19" t="str">
        <x:v>Provenance</x:v>
      </x:c>
    </x:row>
    <x:row r="91">
      <x:c r="A91" s="19" t="str">
        <x:v>Proposed inventory 3NF</x:v>
      </x:c>
      <x:c r="B91" s="19" t="str">
        <x:v>asset_events</x:v>
      </x:c>
      <x:c r="C91" s="19" t="str">
        <x:v>id</x:v>
      </x:c>
      <x:c r="D91" s="19" t="str">
        <x:v>uuid</x:v>
      </x:c>
      <x:c r="E91" s="19" t="str">
        <x:v>PK</x:v>
      </x:c>
      <x:c r="F91" s="19" t="str">
        <x:v>NO</x:v>
      </x:c>
      <x:c r="G91" s="19" t="str">
        <x:v>Inventory event</x:v>
      </x:c>
    </x:row>
    <x:row r="92">
      <x:c r="A92" s="19" t="str">
        <x:v>Proposed inventory 3NF</x:v>
      </x:c>
      <x:c r="B92" s="19" t="str">
        <x:v>asset_events</x:v>
      </x:c>
      <x:c r="C92" s="19" t="str">
        <x:v>batch_id</x:v>
      </x:c>
      <x:c r="D92" s="19" t="str">
        <x:v>uuid</x:v>
      </x:c>
      <x:c r="E92" s="19" t="str">
        <x:v>FK -&gt; purchase_batches.id</x:v>
      </x:c>
      <x:c r="F92" s="19" t="str">
        <x:v>NO</x:v>
      </x:c>
      <x:c r="G92" s="19" t="str">
        <x:v>Batch</x:v>
      </x:c>
    </x:row>
    <x:row r="93">
      <x:c r="A93" s="19" t="str">
        <x:v>Proposed inventory 3NF</x:v>
      </x:c>
      <x:c r="B93" s="19" t="str">
        <x:v>asset_events</x:v>
      </x:c>
      <x:c r="C93" s="19" t="str">
        <x:v>event_type</x:v>
      </x:c>
      <x:c r="D93" s="19" t="str">
        <x:v>text</x:v>
      </x:c>
      <x:c r="E93" s="19" t="str">
        <x:v>CHECK</x:v>
      </x:c>
      <x:c r="F93" s="19" t="str">
        <x:v>NO</x:v>
      </x:c>
      <x:c r="G93" s="19" t="str">
        <x:v>Transfer/writeoff/etc.</x:v>
      </x:c>
    </x:row>
    <x:row r="94">
      <x:c r="A94" s="19" t="str">
        <x:v>Proposed inventory 3NF</x:v>
      </x:c>
      <x:c r="B94" s="19" t="str">
        <x:v>asset_events</x:v>
      </x:c>
      <x:c r="C94" s="19" t="str">
        <x:v>quantity_change</x:v>
      </x:c>
      <x:c r="D94" s="19" t="str">
        <x:v>int</x:v>
      </x:c>
      <x:c r="E94" s="19" t="str"/>
      <x:c r="F94" s="19" t="str">
        <x:v>NO</x:v>
      </x:c>
      <x:c r="G94" s="19" t="str">
        <x:v>Signed change</x:v>
      </x:c>
    </x:row>
    <x:row r="95">
      <x:c r="A95" s="19" t="str">
        <x:v>Proposed inventory 3NF</x:v>
      </x:c>
      <x:c r="B95" s="19" t="str">
        <x:v>asset_events</x:v>
      </x:c>
      <x:c r="C95" s="19" t="str">
        <x:v>from_lab_id</x:v>
      </x:c>
      <x:c r="D95" s="19" t="str">
        <x:v>uuid</x:v>
      </x:c>
      <x:c r="E95" s="19" t="str">
        <x:v>FK -&gt; labs.id</x:v>
      </x:c>
      <x:c r="F95" s="19" t="str">
        <x:v>YES</x:v>
      </x:c>
      <x:c r="G95" s="19" t="str">
        <x:v>From lab</x:v>
      </x:c>
    </x:row>
    <x:row r="96">
      <x:c r="A96" s="19" t="str">
        <x:v>Proposed inventory 3NF</x:v>
      </x:c>
      <x:c r="B96" s="19" t="str">
        <x:v>asset_events</x:v>
      </x:c>
      <x:c r="C96" s="19" t="str">
        <x:v>to_lab_id</x:v>
      </x:c>
      <x:c r="D96" s="19" t="str">
        <x:v>uuid</x:v>
      </x:c>
      <x:c r="E96" s="19" t="str">
        <x:v>FK -&gt; labs.id</x:v>
      </x:c>
      <x:c r="F96" s="19" t="str">
        <x:v>YES</x:v>
      </x:c>
      <x:c r="G96" s="19" t="str">
        <x:v>To lab</x:v>
      </x:c>
    </x:row>
    <x:row r="97">
      <x:c r="A97" s="19" t="str">
        <x:v>Proposed inventory 3NF</x:v>
      </x:c>
      <x:c r="B97" s="19" t="str">
        <x:v>asset_events</x:v>
      </x:c>
      <x:c r="C97" s="19" t="str">
        <x:v>event_date</x:v>
      </x:c>
      <x:c r="D97" s="19" t="str">
        <x:v>date</x:v>
      </x:c>
      <x:c r="E97" s="19" t="str"/>
      <x:c r="F97" s="19" t="str">
        <x:v>YES</x:v>
      </x:c>
      <x:c r="G97" s="19" t="str">
        <x:v>Event date</x:v>
      </x:c>
    </x:row>
    <x:row r="98">
      <x:c r="A98" s="19" t="str">
        <x:v>Proposed inventory 3NF</x:v>
      </x:c>
      <x:c r="B98" s="19" t="str">
        <x:v>asset_events</x:v>
      </x:c>
      <x:c r="C98" s="19" t="str">
        <x:v>details</x:v>
      </x:c>
      <x:c r="D98" s="19" t="str">
        <x:v>text</x:v>
      </x:c>
      <x:c r="E98" s="19" t="str"/>
      <x:c r="F98" s="19" t="str">
        <x:v>YES</x:v>
      </x:c>
      <x:c r="G98" s="19" t="str">
        <x:v>Source note</x:v>
      </x:c>
    </x:row>
    <x:row r="99">
      <x:c r="A99" s="19" t="str">
        <x:v>Proposed inventory 3NF</x:v>
      </x:c>
      <x:c r="B99" s="19" t="str">
        <x:v>computer_specs</x:v>
      </x:c>
      <x:c r="C99" s="19" t="str">
        <x:v>model_id</x:v>
      </x:c>
      <x:c r="D99" s="19" t="str">
        <x:v>uuid</x:v>
      </x:c>
      <x:c r="E99" s="19" t="str">
        <x:v>PK + FK -&gt; equipment_models.id</x:v>
      </x:c>
      <x:c r="F99" s="19" t="str">
        <x:v>NO</x:v>
      </x:c>
      <x:c r="G99" s="19" t="str">
        <x:v>One-to-one spec</x:v>
      </x:c>
    </x:row>
    <x:row r="100">
      <x:c r="A100" s="19" t="str">
        <x:v>Proposed inventory 3NF</x:v>
      </x:c>
      <x:c r="B100" s="19" t="str">
        <x:v>computer_specs</x:v>
      </x:c>
      <x:c r="C100" s="19" t="str">
        <x:v>processor</x:v>
      </x:c>
      <x:c r="D100" s="19" t="str">
        <x:v>text</x:v>
      </x:c>
      <x:c r="E100" s="19" t="str"/>
      <x:c r="F100" s="19" t="str">
        <x:v>YES</x:v>
      </x:c>
      <x:c r="G100" s="19" t="str">
        <x:v>CPU</x:v>
      </x:c>
    </x:row>
    <x:row r="101">
      <x:c r="A101" s="19" t="str">
        <x:v>Proposed inventory 3NF</x:v>
      </x:c>
      <x:c r="B101" s="19" t="str">
        <x:v>computer_specs</x:v>
      </x:c>
      <x:c r="C101" s="19" t="str">
        <x:v>ram_gb</x:v>
      </x:c>
      <x:c r="D101" s="19" t="str">
        <x:v>int</x:v>
      </x:c>
      <x:c r="E101" s="19" t="str"/>
      <x:c r="F101" s="19" t="str">
        <x:v>YES</x:v>
      </x:c>
      <x:c r="G101" s="19" t="str">
        <x:v>RAM</x:v>
      </x:c>
    </x:row>
    <x:row r="102">
      <x:c r="A102" s="19" t="str">
        <x:v>Proposed inventory 3NF</x:v>
      </x:c>
      <x:c r="B102" s="19" t="str">
        <x:v>computer_specs</x:v>
      </x:c>
      <x:c r="C102" s="19" t="str">
        <x:v>storage</x:v>
      </x:c>
      <x:c r="D102" s="19" t="str">
        <x:v>text</x:v>
      </x:c>
      <x:c r="E102" s="19" t="str"/>
      <x:c r="F102" s="19" t="str">
        <x:v>YES</x:v>
      </x:c>
      <x:c r="G102" s="19" t="str">
        <x:v>Storage</x:v>
      </x:c>
    </x:row>
    <x:row r="103">
      <x:c r="A103" s="19" t="str">
        <x:v>Proposed inventory 3NF</x:v>
      </x:c>
      <x:c r="B103" s="19" t="str">
        <x:v>computer_specs</x:v>
      </x:c>
      <x:c r="C103" s="19" t="str">
        <x:v>operating_system</x:v>
      </x:c>
      <x:c r="D103" s="19" t="str">
        <x:v>text</x:v>
      </x:c>
      <x:c r="E103" s="19" t="str"/>
      <x:c r="F103" s="19" t="str">
        <x:v>YES</x:v>
      </x:c>
      <x:c r="G103" s="19" t="str">
        <x:v>OS</x:v>
      </x:c>
    </x:row>
    <x:row r="104">
      <x:c r="A104" s="19" t="str">
        <x:v>Proposed inventory 3NF</x:v>
      </x:c>
      <x:c r="B104" s="19" t="str">
        <x:v>computer_specs</x:v>
      </x:c>
      <x:c r="C104" s="19" t="str">
        <x:v>monitor_size_in</x:v>
      </x:c>
      <x:c r="D104" s="19" t="str">
        <x:v>numeric</x:v>
      </x:c>
      <x:c r="E104" s="19" t="str"/>
      <x:c r="F104" s="19" t="str">
        <x:v>YES</x:v>
      </x:c>
      <x:c r="G104" s="19" t="str">
        <x:v>Monitor</x:v>
      </x:c>
    </x:row>
    <x:row r="105">
      <x:c r="A105" s="19" t="str">
        <x:v>Proposed inventory 3NF</x:v>
      </x:c>
      <x:c r="B105" s="19" t="str">
        <x:v>laptop_specs</x:v>
      </x:c>
      <x:c r="C105" s="19" t="str">
        <x:v>model_id</x:v>
      </x:c>
      <x:c r="D105" s="19" t="str">
        <x:v>uuid</x:v>
      </x:c>
      <x:c r="E105" s="19" t="str">
        <x:v>PK + FK -&gt; equipment_models.id</x:v>
      </x:c>
      <x:c r="F105" s="19" t="str">
        <x:v>NO</x:v>
      </x:c>
      <x:c r="G105" s="19" t="str">
        <x:v>One-to-one spec</x:v>
      </x:c>
    </x:row>
    <x:row r="106">
      <x:c r="A106" s="19" t="str">
        <x:v>Proposed inventory 3NF</x:v>
      </x:c>
      <x:c r="B106" s="19" t="str">
        <x:v>laptop_specs</x:v>
      </x:c>
      <x:c r="C106" s="19" t="str">
        <x:v>processor</x:v>
      </x:c>
      <x:c r="D106" s="19" t="str">
        <x:v>text</x:v>
      </x:c>
      <x:c r="E106" s="19" t="str"/>
      <x:c r="F106" s="19" t="str">
        <x:v>YES</x:v>
      </x:c>
      <x:c r="G106" s="19" t="str">
        <x:v>CPU</x:v>
      </x:c>
    </x:row>
    <x:row r="107">
      <x:c r="A107" s="19" t="str">
        <x:v>Proposed inventory 3NF</x:v>
      </x:c>
      <x:c r="B107" s="19" t="str">
        <x:v>laptop_specs</x:v>
      </x:c>
      <x:c r="C107" s="19" t="str">
        <x:v>ram_gb</x:v>
      </x:c>
      <x:c r="D107" s="19" t="str">
        <x:v>int</x:v>
      </x:c>
      <x:c r="E107" s="19" t="str"/>
      <x:c r="F107" s="19" t="str">
        <x:v>YES</x:v>
      </x:c>
      <x:c r="G107" s="19" t="str">
        <x:v>RAM</x:v>
      </x:c>
    </x:row>
    <x:row r="108">
      <x:c r="A108" s="19" t="str">
        <x:v>Proposed inventory 3NF</x:v>
      </x:c>
      <x:c r="B108" s="19" t="str">
        <x:v>laptop_specs</x:v>
      </x:c>
      <x:c r="C108" s="19" t="str">
        <x:v>storage</x:v>
      </x:c>
      <x:c r="D108" s="19" t="str">
        <x:v>text</x:v>
      </x:c>
      <x:c r="E108" s="19" t="str"/>
      <x:c r="F108" s="19" t="str">
        <x:v>YES</x:v>
      </x:c>
      <x:c r="G108" s="19" t="str">
        <x:v>Storage</x:v>
      </x:c>
    </x:row>
    <x:row r="109">
      <x:c r="A109" s="19" t="str">
        <x:v>Proposed inventory 3NF</x:v>
      </x:c>
      <x:c r="B109" s="19" t="str">
        <x:v>laptop_specs</x:v>
      </x:c>
      <x:c r="C109" s="19" t="str">
        <x:v>operating_system</x:v>
      </x:c>
      <x:c r="D109" s="19" t="str">
        <x:v>text</x:v>
      </x:c>
      <x:c r="E109" s="19" t="str"/>
      <x:c r="F109" s="19" t="str">
        <x:v>YES</x:v>
      </x:c>
      <x:c r="G109" s="19" t="str">
        <x:v>OS</x:v>
      </x:c>
    </x:row>
    <x:row r="110">
      <x:c r="A110" s="19" t="str">
        <x:v>Proposed inventory 3NF</x:v>
      </x:c>
      <x:c r="B110" s="19" t="str">
        <x:v>laptop_specs</x:v>
      </x:c>
      <x:c r="C110" s="19" t="str">
        <x:v>monitor_size_in</x:v>
      </x:c>
      <x:c r="D110" s="19" t="str">
        <x:v>numeric</x:v>
      </x:c>
      <x:c r="E110" s="19" t="str"/>
      <x:c r="F110" s="19" t="str">
        <x:v>YES</x:v>
      </x:c>
      <x:c r="G110" s="19" t="str">
        <x:v>Display</x:v>
      </x:c>
    </x:row>
    <x:row r="111">
      <x:c r="A111" s="19" t="str">
        <x:v>Proposed inventory 3NF</x:v>
      </x:c>
      <x:c r="B111" s="19" t="str">
        <x:v>printer_specs</x:v>
      </x:c>
      <x:c r="C111" s="19" t="str">
        <x:v>model_id</x:v>
      </x:c>
      <x:c r="D111" s="19" t="str">
        <x:v>uuid</x:v>
      </x:c>
      <x:c r="E111" s="19" t="str">
        <x:v>PK + FK -&gt; equipment_models.id</x:v>
      </x:c>
      <x:c r="F111" s="19" t="str">
        <x:v>NO</x:v>
      </x:c>
      <x:c r="G111" s="19" t="str">
        <x:v>One-to-one spec</x:v>
      </x:c>
    </x:row>
    <x:row r="112">
      <x:c r="A112" s="19" t="str">
        <x:v>Proposed inventory 3NF</x:v>
      </x:c>
      <x:c r="B112" s="19" t="str">
        <x:v>printer_specs</x:v>
      </x:c>
      <x:c r="C112" s="19" t="str">
        <x:v>functions</x:v>
      </x:c>
      <x:c r="D112" s="19" t="str">
        <x:v>text</x:v>
      </x:c>
      <x:c r="E112" s="19" t="str"/>
      <x:c r="F112" s="19" t="str">
        <x:v>YES</x:v>
      </x:c>
      <x:c r="G112" s="19" t="str">
        <x:v>Print/Scan/Copy</x:v>
      </x:c>
    </x:row>
    <x:row r="113">
      <x:c r="A113" s="19" t="str">
        <x:v>Proposed inventory 3NF</x:v>
      </x:c>
      <x:c r="B113" s="19" t="str">
        <x:v>printer_specs</x:v>
      </x:c>
      <x:c r="C113" s="19" t="str">
        <x:v>print_speed_ppm</x:v>
      </x:c>
      <x:c r="D113" s="19" t="str">
        <x:v>int</x:v>
      </x:c>
      <x:c r="E113" s="19" t="str"/>
      <x:c r="F113" s="19" t="str">
        <x:v>YES</x:v>
      </x:c>
      <x:c r="G113" s="19" t="str">
        <x:v>PPM</x:v>
      </x:c>
    </x:row>
    <x:row r="114">
      <x:c r="A114" s="19" t="str">
        <x:v>Proposed inventory 3NF</x:v>
      </x:c>
      <x:c r="B114" s="19" t="str">
        <x:v>printer_specs</x:v>
      </x:c>
      <x:c r="C114" s="19" t="str">
        <x:v>resolution</x:v>
      </x:c>
      <x:c r="D114" s="19" t="str">
        <x:v>text</x:v>
      </x:c>
      <x:c r="E114" s="19" t="str"/>
      <x:c r="F114" s="19" t="str">
        <x:v>YES</x:v>
      </x:c>
      <x:c r="G114" s="19" t="str">
        <x:v>DPI</x:v>
      </x:c>
    </x:row>
    <x:row r="115">
      <x:c r="A115" s="19" t="str">
        <x:v>Proposed inventory 3NF</x:v>
      </x:c>
      <x:c r="B115" s="19" t="str">
        <x:v>printer_specs</x:v>
      </x:c>
      <x:c r="C115" s="19" t="str">
        <x:v>connectivity</x:v>
      </x:c>
      <x:c r="D115" s="19" t="str">
        <x:v>text</x:v>
      </x:c>
      <x:c r="E115" s="19" t="str"/>
      <x:c r="F115" s="19" t="str">
        <x:v>YES</x:v>
      </x:c>
      <x:c r="G115" s="19" t="str">
        <x:v>USB/Ethernet</x:v>
      </x:c>
    </x:row>
    <x:row r="116">
      <x:c r="A116" s="19" t="str">
        <x:v>Proposed inventory 3NF</x:v>
      </x:c>
      <x:c r="B116" s="19" t="str">
        <x:v>printer_specs</x:v>
      </x:c>
      <x:c r="C116" s="19" t="str">
        <x:v>input_tray_sheets</x:v>
      </x:c>
      <x:c r="D116" s="19" t="str">
        <x:v>int</x:v>
      </x:c>
      <x:c r="E116" s="19" t="str"/>
      <x:c r="F116" s="19" t="str">
        <x:v>YES</x:v>
      </x:c>
      <x:c r="G116" s="19" t="str">
        <x:v>Tray capacity</x:v>
      </x:c>
    </x:row>
    <x:row r="117">
      <x:c r="A117" s="19" t="str">
        <x:v>Proposed inventory 3NF</x:v>
      </x:c>
      <x:c r="B117" s="19" t="str">
        <x:v>ups_specs</x:v>
      </x:c>
      <x:c r="C117" s="19" t="str">
        <x:v>model_id</x:v>
      </x:c>
      <x:c r="D117" s="19" t="str">
        <x:v>uuid</x:v>
      </x:c>
      <x:c r="E117" s="19" t="str">
        <x:v>PK + FK -&gt; equipment_models.id</x:v>
      </x:c>
      <x:c r="F117" s="19" t="str">
        <x:v>NO</x:v>
      </x:c>
      <x:c r="G117" s="19" t="str">
        <x:v>One-to-one spec</x:v>
      </x:c>
    </x:row>
    <x:row r="118">
      <x:c r="A118" s="19" t="str">
        <x:v>Proposed inventory 3NF</x:v>
      </x:c>
      <x:c r="B118" s="19" t="str">
        <x:v>ups_specs</x:v>
      </x:c>
      <x:c r="C118" s="19" t="str">
        <x:v>capacity_kva</x:v>
      </x:c>
      <x:c r="D118" s="19" t="str">
        <x:v>numeric</x:v>
      </x:c>
      <x:c r="E118" s="19" t="str"/>
      <x:c r="F118" s="19" t="str">
        <x:v>YES</x:v>
      </x:c>
      <x:c r="G118" s="19" t="str">
        <x:v>UPS capacity</x:v>
      </x:c>
    </x:row>
    <x:row r="119">
      <x:c r="A119" s="19" t="str">
        <x:v>Proposed inventory 3NF</x:v>
      </x:c>
      <x:c r="B119" s="19" t="str">
        <x:v>ups_specs</x:v>
      </x:c>
      <x:c r="C119" s="19" t="str">
        <x:v>dc_voltage</x:v>
      </x:c>
      <x:c r="D119" s="19" t="str">
        <x:v>int</x:v>
      </x:c>
      <x:c r="E119" s="19" t="str"/>
      <x:c r="F119" s="19" t="str">
        <x:v>YES</x:v>
      </x:c>
      <x:c r="G119" s="19" t="str">
        <x:v>DC voltage</x:v>
      </x:c>
    </x:row>
    <x:row r="120">
      <x:c r="A120" s="19" t="str">
        <x:v>Proposed inventory 3NF</x:v>
      </x:c>
      <x:c r="B120" s="19" t="str">
        <x:v>ups_specs</x:v>
      </x:c>
      <x:c r="C120" s="19" t="str">
        <x:v>input_voltage_range</x:v>
      </x:c>
      <x:c r="D120" s="19" t="str">
        <x:v>text</x:v>
      </x:c>
      <x:c r="E120" s="19" t="str"/>
      <x:c r="F120" s="19" t="str">
        <x:v>YES</x:v>
      </x:c>
      <x:c r="G120" s="19" t="str">
        <x:v>Input range</x:v>
      </x:c>
    </x:row>
    <x:row r="121">
      <x:c r="A121" s="19" t="str">
        <x:v>Proposed inventory 3NF</x:v>
      </x:c>
      <x:c r="B121" s="19" t="str">
        <x:v>ups_specs</x:v>
      </x:c>
      <x:c r="C121" s="19" t="str">
        <x:v>output_power_factor</x:v>
      </x:c>
      <x:c r="D121" s="19" t="str">
        <x:v>numeric</x:v>
      </x:c>
      <x:c r="E121" s="19" t="str"/>
      <x:c r="F121" s="19" t="str">
        <x:v>YES</x:v>
      </x:c>
      <x:c r="G121" s="19" t="str">
        <x:v>Power factor</x:v>
      </x:c>
    </x:row>
    <x:row r="122">
      <x:c r="A122" s="19" t="str">
        <x:v>Proposed inventory 3NF</x:v>
      </x:c>
      <x:c r="B122" s="19" t="str">
        <x:v>ups_specs</x:v>
      </x:c>
      <x:c r="C122" s="19" t="str">
        <x:v>charger_amp</x:v>
      </x:c>
      <x:c r="D122" s="19" t="str">
        <x:v>int</x:v>
      </x:c>
      <x:c r="E122" s="19" t="str"/>
      <x:c r="F122" s="19" t="str">
        <x:v>YES</x:v>
      </x:c>
      <x:c r="G122" s="19" t="str">
        <x:v>Charger current</x:v>
      </x:c>
    </x:row>
    <x:row r="123">
      <x:c r="A123" s="19" t="str">
        <x:v>Proposed inventory 3NF</x:v>
      </x:c>
      <x:c r="B123" s="19" t="str">
        <x:v>ups_specs</x:v>
      </x:c>
      <x:c r="C123" s="19" t="str">
        <x:v>battery_spec</x:v>
      </x:c>
      <x:c r="D123" s="19" t="str">
        <x:v>text</x:v>
      </x:c>
      <x:c r="E123" s="19" t="str"/>
      <x:c r="F123" s="19" t="str">
        <x:v>YES</x:v>
      </x:c>
      <x:c r="G123" s="19" t="str">
        <x:v>Battery detail</x:v>
      </x:c>
    </x:row>
    <x:row r="124">
      <x:c r="A124" s="19" t="str">
        <x:v>Proposed inventory 3NF</x:v>
      </x:c>
      <x:c r="B124" s="19" t="str">
        <x:v>battery_specs</x:v>
      </x:c>
      <x:c r="C124" s="19" t="str">
        <x:v>model_id</x:v>
      </x:c>
      <x:c r="D124" s="19" t="str">
        <x:v>uuid</x:v>
      </x:c>
      <x:c r="E124" s="19" t="str">
        <x:v>PK + FK -&gt; equipment_models.id</x:v>
      </x:c>
      <x:c r="F124" s="19" t="str">
        <x:v>NO</x:v>
      </x:c>
      <x:c r="G124" s="19" t="str">
        <x:v>One-to-one spec</x:v>
      </x:c>
    </x:row>
    <x:row r="125">
      <x:c r="A125" s="19" t="str">
        <x:v>Proposed inventory 3NF</x:v>
      </x:c>
      <x:c r="B125" s="19" t="str">
        <x:v>battery_specs</x:v>
      </x:c>
      <x:c r="C125" s="19" t="str">
        <x:v>voltage_v</x:v>
      </x:c>
      <x:c r="D125" s="19" t="str">
        <x:v>int</x:v>
      </x:c>
      <x:c r="E125" s="19" t="str"/>
      <x:c r="F125" s="19" t="str">
        <x:v>YES</x:v>
      </x:c>
      <x:c r="G125" s="19" t="str">
        <x:v>Voltage</x:v>
      </x:c>
    </x:row>
    <x:row r="126">
      <x:c r="A126" s="19" t="str">
        <x:v>Proposed inventory 3NF</x:v>
      </x:c>
      <x:c r="B126" s="19" t="str">
        <x:v>battery_specs</x:v>
      </x:c>
      <x:c r="C126" s="19" t="str">
        <x:v>capacity_ah</x:v>
      </x:c>
      <x:c r="D126" s="19" t="str">
        <x:v>int</x:v>
      </x:c>
      <x:c r="E126" s="19" t="str"/>
      <x:c r="F126" s="19" t="str">
        <x:v>YES</x:v>
      </x:c>
      <x:c r="G126" s="19" t="str">
        <x:v>Capacity</x:v>
      </x:c>
    </x:row>
    <x:row r="127">
      <x:c r="A127" s="19" t="str">
        <x:v>Proposed inventory 3NF</x:v>
      </x:c>
      <x:c r="B127" s="19" t="str">
        <x:v>battery_specs</x:v>
      </x:c>
      <x:c r="C127" s="19" t="str">
        <x:v>battery_type</x:v>
      </x:c>
      <x:c r="D127" s="19" t="str">
        <x:v>text</x:v>
      </x:c>
      <x:c r="E127" s="19" t="str"/>
      <x:c r="F127" s="19" t="str">
        <x:v>YES</x:v>
      </x:c>
      <x:c r="G127" s="19" t="str">
        <x:v>SMF/etc.</x:v>
      </x:c>
    </x:row>
    <x:row r="128">
      <x:c r="A128" s="19" t="str">
        <x:v>Proposed inventory 3NF</x:v>
      </x:c>
      <x:c r="B128" s="19" t="str">
        <x:v>projector_specs</x:v>
      </x:c>
      <x:c r="C128" s="19" t="str">
        <x:v>model_id</x:v>
      </x:c>
      <x:c r="D128" s="19" t="str">
        <x:v>uuid</x:v>
      </x:c>
      <x:c r="E128" s="19" t="str">
        <x:v>PK + FK -&gt; equipment_models.id</x:v>
      </x:c>
      <x:c r="F128" s="19" t="str">
        <x:v>NO</x:v>
      </x:c>
      <x:c r="G128" s="19" t="str">
        <x:v>One-to-one spec</x:v>
      </x:c>
    </x:row>
    <x:row r="129">
      <x:c r="A129" s="19" t="str">
        <x:v>Proposed inventory 3NF</x:v>
      </x:c>
      <x:c r="B129" s="19" t="str">
        <x:v>projector_specs</x:v>
      </x:c>
      <x:c r="C129" s="19" t="str">
        <x:v>technology</x:v>
      </x:c>
      <x:c r="D129" s="19" t="str">
        <x:v>text</x:v>
      </x:c>
      <x:c r="E129" s="19" t="str"/>
      <x:c r="F129" s="19" t="str">
        <x:v>YES</x:v>
      </x:c>
      <x:c r="G129" s="19" t="str">
        <x:v>3LCD/etc.</x:v>
      </x:c>
    </x:row>
    <x:row r="130">
      <x:c r="A130" s="19" t="str">
        <x:v>Proposed inventory 3NF</x:v>
      </x:c>
      <x:c r="B130" s="19" t="str">
        <x:v>projector_specs</x:v>
      </x:c>
      <x:c r="C130" s="19" t="str">
        <x:v>brightness_lumens</x:v>
      </x:c>
      <x:c r="D130" s="19" t="str">
        <x:v>int</x:v>
      </x:c>
      <x:c r="E130" s="19" t="str"/>
      <x:c r="F130" s="19" t="str">
        <x:v>YES</x:v>
      </x:c>
      <x:c r="G130" s="19" t="str">
        <x:v>Brightness</x:v>
      </x:c>
    </x:row>
    <x:row r="131">
      <x:c r="A131" s="19" t="str">
        <x:v>Proposed inventory 3NF</x:v>
      </x:c>
      <x:c r="B131" s="19" t="str">
        <x:v>interactive_panel_specs</x:v>
      </x:c>
      <x:c r="C131" s="19" t="str">
        <x:v>model_id</x:v>
      </x:c>
      <x:c r="D131" s="19" t="str">
        <x:v>uuid</x:v>
      </x:c>
      <x:c r="E131" s="19" t="str">
        <x:v>PK + FK -&gt; equipment_models.id</x:v>
      </x:c>
      <x:c r="F131" s="19" t="str">
        <x:v>NO</x:v>
      </x:c>
      <x:c r="G131" s="19" t="str">
        <x:v>One-to-one spec</x:v>
      </x:c>
    </x:row>
    <x:row r="132">
      <x:c r="A132" s="19" t="str">
        <x:v>Proposed inventory 3NF</x:v>
      </x:c>
      <x:c r="B132" s="19" t="str">
        <x:v>interactive_panel_specs</x:v>
      </x:c>
      <x:c r="C132" s="19" t="str">
        <x:v>screen_size_in</x:v>
      </x:c>
      <x:c r="D132" s="19" t="str">
        <x:v>numeric</x:v>
      </x:c>
      <x:c r="E132" s="19" t="str"/>
      <x:c r="F132" s="19" t="str">
        <x:v>YES</x:v>
      </x:c>
      <x:c r="G132" s="19" t="str">
        <x:v>Screen size</x:v>
      </x:c>
    </x:row>
    <x:row r="133">
      <x:c r="A133" s="19" t="str">
        <x:v>Proposed inventory 3NF</x:v>
      </x:c>
      <x:c r="B133" s="19" t="str">
        <x:v>interactive_panel_specs</x:v>
      </x:c>
      <x:c r="C133" s="19" t="str">
        <x:v>resolution</x:v>
      </x:c>
      <x:c r="D133" s="19" t="str">
        <x:v>text</x:v>
      </x:c>
      <x:c r="E133" s="19" t="str"/>
      <x:c r="F133" s="19" t="str">
        <x:v>YES</x:v>
      </x:c>
      <x:c r="G133" s="19" t="str">
        <x:v>Resolution</x:v>
      </x:c>
    </x:row>
    <x:row r="134">
      <x:c r="A134" s="19" t="str">
        <x:v>Proposed inventory 3NF</x:v>
      </x:c>
      <x:c r="B134" s="19" t="str">
        <x:v>interactive_panel_specs</x:v>
      </x:c>
      <x:c r="C134" s="19" t="str">
        <x:v>android_version</x:v>
      </x:c>
      <x:c r="D134" s="19" t="str">
        <x:v>text</x:v>
      </x:c>
      <x:c r="E134" s="19" t="str"/>
      <x:c r="F134" s="19" t="str">
        <x:v>YES</x:v>
      </x:c>
      <x:c r="G134" s="19" t="str">
        <x:v>Android</x:v>
      </x:c>
    </x:row>
    <x:row r="135">
      <x:c r="A135" s="19" t="str">
        <x:v>Proposed inventory 3NF</x:v>
      </x:c>
      <x:c r="B135" s="19" t="str">
        <x:v>interactive_panel_specs</x:v>
      </x:c>
      <x:c r="C135" s="19" t="str">
        <x:v>ram_gb</x:v>
      </x:c>
      <x:c r="D135" s="19" t="str">
        <x:v>int</x:v>
      </x:c>
      <x:c r="E135" s="19" t="str"/>
      <x:c r="F135" s="19" t="str">
        <x:v>YES</x:v>
      </x:c>
      <x:c r="G135" s="19" t="str">
        <x:v>RAM</x:v>
      </x:c>
    </x:row>
    <x:row r="136">
      <x:c r="A136" s="19" t="str">
        <x:v>Proposed inventory 3NF</x:v>
      </x:c>
      <x:c r="B136" s="19" t="str">
        <x:v>interactive_panel_specs</x:v>
      </x:c>
      <x:c r="C136" s="19" t="str">
        <x:v>storage</x:v>
      </x:c>
      <x:c r="D136" s="19" t="str">
        <x:v>text</x:v>
      </x:c>
      <x:c r="E136" s="19" t="str"/>
      <x:c r="F136" s="19" t="str">
        <x:v>YES</x:v>
      </x:c>
      <x:c r="G136" s="19" t="str">
        <x:v>Storage</x:v>
      </x:c>
    </x:row>
    <x:row r="137">
      <x:c r="A137" s="19" t="str">
        <x:v>Proposed inventory 3NF</x:v>
      </x:c>
      <x:c r="B137" s="19" t="str">
        <x:v>interactive_panel_specs</x:v>
      </x:c>
      <x:c r="C137" s="19" t="str">
        <x:v>touch_points</x:v>
      </x:c>
      <x:c r="D137" s="19" t="str">
        <x:v>int</x:v>
      </x:c>
      <x:c r="E137" s="19" t="str"/>
      <x:c r="F137" s="19" t="str">
        <x:v>YES</x:v>
      </x:c>
      <x:c r="G137" s="19" t="str">
        <x:v>Touch points</x:v>
      </x:c>
    </x:row>
    <x:row r="138">
      <x:c r="A138" s="19" t="str">
        <x:v>Proposed inventory 3NF</x:v>
      </x:c>
      <x:c r="B138" s="19" t="str">
        <x:v>interactive_panel_specs</x:v>
      </x:c>
      <x:c r="C138" s="19" t="str">
        <x:v>touch_accuracy_mm</x:v>
      </x:c>
      <x:c r="D138" s="19" t="str">
        <x:v>numeric</x:v>
      </x:c>
      <x:c r="E138" s="19" t="str"/>
      <x:c r="F138" s="19" t="str">
        <x:v>YES</x:v>
      </x:c>
      <x:c r="G138" s="19" t="str">
        <x:v>Accuracy</x:v>
      </x:c>
    </x:row>
    <x:row r="139">
      <x:c r="A139" s="19" t="str">
        <x:v>Proposed inventory 3NF</x:v>
      </x:c>
      <x:c r="B139" s="19" t="str">
        <x:v>interactive_panel_specs</x:v>
      </x:c>
      <x:c r="C139" s="19" t="str">
        <x:v>type_c_power_w</x:v>
      </x:c>
      <x:c r="D139" s="19" t="str">
        <x:v>int</x:v>
      </x:c>
      <x:c r="E139" s="19" t="str"/>
      <x:c r="F139" s="19" t="str">
        <x:v>YES</x:v>
      </x:c>
      <x:c r="G139" s="19" t="str">
        <x:v>USB-C power</x:v>
      </x:c>
    </x:row>
  </x:sheetData>
  <x:mergeCells>
    <x:mergeCell ref="A1:G1"/>
  </x:mergeCells>
  <x:pageMargins left="0.7" right="0.7" top="0.75" bottom="0.75" header="0.3" footer="0.3"/>
  <x:tableParts count="1">
    <x:tablePart xmlns:r="http://schemas.openxmlformats.org/officeDocument/2006/relationships" r:id="R4c16fff0fd5a4793"/>
  </x:tableParts>
</x:worksheet>
</file>

<file path=xl/worksheets/sheet26.xml><?xml version="1.0" encoding="utf-8"?>
<x:worksheet xmlns:x="http://schemas.openxmlformats.org/spreadsheetml/2006/main">
  <x:sheetFormatPr defaultRowHeight="15"/>
  <x:cols>
    <x:col min="1" max="1" width="14" hidden="0" customWidth="1"/>
    <x:col min="2" max="2" width="14" hidden="0" customWidth="1"/>
    <x:col min="3" max="3" width="42" hidden="0" customWidth="1"/>
    <x:col min="4" max="4" width="14" hidden="0" customWidth="1"/>
    <x:col min="5" max="5" width="45" hidden="0" customWidth="1"/>
  </x:cols>
  <x:sheetData>
    <x:row r="1">
      <x:c r="A1" s="5" t="str">
        <x:v>Database Relationships</x:v>
      </x:c>
    </x:row>
    <x:row r="2">
      <x:c r="A2" s="24" t="str">
        <x:v>Rows: 23</x:v>
      </x:c>
    </x:row>
    <x:row r="4">
      <x:c r="A4" s="18" t="str">
        <x:v>from_table</x:v>
      </x:c>
      <x:c r="B4" s="18" t="str">
        <x:v>to_table</x:v>
      </x:c>
      <x:c r="C4" s="18" t="str">
        <x:v>foreign_key</x:v>
      </x:c>
      <x:c r="D4" s="18" t="str">
        <x:v>cardinality</x:v>
      </x:c>
      <x:c r="E4" s="18" t="str">
        <x:v>meaning</x:v>
      </x:c>
    </x:row>
    <x:row r="5">
      <x:c r="A5" s="19" t="str">
        <x:v>labs</x:v>
      </x:c>
      <x:c r="B5" s="19" t="str">
        <x:v>campus_nodes</x:v>
      </x:c>
      <x:c r="C5" s="19" t="str">
        <x:v>labs.node_id -&gt; campus_nodes.id</x:v>
      </x:c>
      <x:c r="D5" s="19" t="str">
        <x:v>N:1</x:v>
      </x:c>
      <x:c r="E5" s="19" t="str">
        <x:v>Places each lab on campus graph</x:v>
      </x:c>
    </x:row>
    <x:row r="6">
      <x:c r="A6" s="19" t="str">
        <x:v>campus_edges</x:v>
      </x:c>
      <x:c r="B6" s="19" t="str">
        <x:v>campus_nodes</x:v>
      </x:c>
      <x:c r="C6" s="19" t="str">
        <x:v>from_node/to_node -&gt; campus_nodes.id</x:v>
      </x:c>
      <x:c r="D6" s="19" t="str">
        <x:v>N:1</x:v>
      </x:c>
      <x:c r="E6" s="19" t="str">
        <x:v>Routing graph</x:v>
      </x:c>
    </x:row>
    <x:row r="7">
      <x:c r="A7" s="19" t="str">
        <x:v>resources</x:v>
      </x:c>
      <x:c r="B7" s="19" t="str">
        <x:v>labs</x:v>
      </x:c>
      <x:c r="C7" s="19" t="str">
        <x:v>resources.lab_id -&gt; labs.id</x:v>
      </x:c>
      <x:c r="D7" s="19" t="str">
        <x:v>N:1</x:v>
      </x:c>
      <x:c r="E7" s="19" t="str">
        <x:v>Current resource location</x:v>
      </x:c>
    </x:row>
    <x:row r="8">
      <x:c r="A8" s="19" t="str">
        <x:v>resources</x:v>
      </x:c>
      <x:c r="B8" s="19" t="str">
        <x:v>purchase_batches</x:v>
      </x:c>
      <x:c r="C8" s="19" t="str">
        <x:v>resources.batch_id -&gt; purchase_batches.id</x:v>
      </x:c>
      <x:c r="D8" s="19" t="str">
        <x:v>N:1</x:v>
      </x:c>
      <x:c r="E8" s="19" t="str">
        <x:v>Connects booking resource to inventory source</x:v>
      </x:c>
    </x:row>
    <x:row r="9">
      <x:c r="A9" s="19" t="str">
        <x:v>purchase_batches</x:v>
      </x:c>
      <x:c r="B9" s="19" t="str">
        <x:v>labs</x:v>
      </x:c>
      <x:c r="C9" s="19" t="str">
        <x:v>acquisition_lab_id -&gt; labs.id</x:v>
      </x:c>
      <x:c r="D9" s="19" t="str">
        <x:v>N:1</x:v>
      </x:c>
      <x:c r="E9" s="19" t="str">
        <x:v>Original acquisition lab</x:v>
      </x:c>
    </x:row>
    <x:row r="10">
      <x:c r="A10" s="19" t="str">
        <x:v>purchase_batches</x:v>
      </x:c>
      <x:c r="B10" s="19" t="str">
        <x:v>equipment_models</x:v>
      </x:c>
      <x:c r="C10" s="19" t="str">
        <x:v>model_id -&gt; equipment_models.id</x:v>
      </x:c>
      <x:c r="D10" s="19" t="str">
        <x:v>N:1</x:v>
      </x:c>
      <x:c r="E10" s="19" t="str">
        <x:v>Model/configuration</x:v>
      </x:c>
    </x:row>
    <x:row r="11">
      <x:c r="A11" s="19" t="str">
        <x:v>purchase_batches</x:v>
      </x:c>
      <x:c r="B11" s="19" t="str">
        <x:v>suppliers</x:v>
      </x:c>
      <x:c r="C11" s="19" t="str">
        <x:v>supplier_id -&gt; suppliers.id</x:v>
      </x:c>
      <x:c r="D11" s="19" t="str">
        <x:v>N:1</x:v>
      </x:c>
      <x:c r="E11" s="19" t="str">
        <x:v>Supplier</x:v>
      </x:c>
    </x:row>
    <x:row r="12">
      <x:c r="A12" s="19" t="str">
        <x:v>equipment_models</x:v>
      </x:c>
      <x:c r="B12" s="19" t="str">
        <x:v>equipment_categories</x:v>
      </x:c>
      <x:c r="C12" s="19" t="str">
        <x:v>category_id -&gt; equipment_categories.id</x:v>
      </x:c>
      <x:c r="D12" s="19" t="str">
        <x:v>N:1</x:v>
      </x:c>
      <x:c r="E12" s="19" t="str">
        <x:v>Category</x:v>
      </x:c>
    </x:row>
    <x:row r="13">
      <x:c r="A13" s="19" t="str">
        <x:v>asset_events</x:v>
      </x:c>
      <x:c r="B13" s="19" t="str">
        <x:v>purchase_batches</x:v>
      </x:c>
      <x:c r="C13" s="19" t="str">
        <x:v>batch_id -&gt; purchase_batches.id</x:v>
      </x:c>
      <x:c r="D13" s="19" t="str">
        <x:v>N:1</x:v>
      </x:c>
      <x:c r="E13" s="19" t="str">
        <x:v>Transfer/writeoff history</x:v>
      </x:c>
    </x:row>
    <x:row r="14">
      <x:c r="A14" s="19" t="str">
        <x:v>asset_events</x:v>
      </x:c>
      <x:c r="B14" s="19" t="str">
        <x:v>labs</x:v>
      </x:c>
      <x:c r="C14" s="19" t="str">
        <x:v>from_lab_id/to_lab_id -&gt; labs.id</x:v>
      </x:c>
      <x:c r="D14" s="19" t="str">
        <x:v>N:1</x:v>
      </x:c>
      <x:c r="E14" s="19" t="str">
        <x:v>Movement between labs</x:v>
      </x:c>
    </x:row>
    <x:row r="15">
      <x:c r="A15" s="19" t="str">
        <x:v>computer_specs</x:v>
      </x:c>
      <x:c r="B15" s="19" t="str">
        <x:v>equipment_models</x:v>
      </x:c>
      <x:c r="C15" s="19" t="str">
        <x:v>model_id -&gt; equipment_models.id</x:v>
      </x:c>
      <x:c r="D15" s="19" t="str">
        <x:v>1:1</x:v>
      </x:c>
      <x:c r="E15" s="19" t="str">
        <x:v>Computer attributes</x:v>
      </x:c>
    </x:row>
    <x:row r="16">
      <x:c r="A16" s="19" t="str">
        <x:v>laptop_specs</x:v>
      </x:c>
      <x:c r="B16" s="19" t="str">
        <x:v>equipment_models</x:v>
      </x:c>
      <x:c r="C16" s="19" t="str">
        <x:v>model_id -&gt; equipment_models.id</x:v>
      </x:c>
      <x:c r="D16" s="19" t="str">
        <x:v>1:1</x:v>
      </x:c>
      <x:c r="E16" s="19" t="str">
        <x:v>Laptop attributes</x:v>
      </x:c>
    </x:row>
    <x:row r="17">
      <x:c r="A17" s="19" t="str">
        <x:v>printer_specs</x:v>
      </x:c>
      <x:c r="B17" s="19" t="str">
        <x:v>equipment_models</x:v>
      </x:c>
      <x:c r="C17" s="19" t="str">
        <x:v>model_id -&gt; equipment_models.id</x:v>
      </x:c>
      <x:c r="D17" s="19" t="str">
        <x:v>1:1</x:v>
      </x:c>
      <x:c r="E17" s="19" t="str">
        <x:v>Printer attributes</x:v>
      </x:c>
    </x:row>
    <x:row r="18">
      <x:c r="A18" s="19" t="str">
        <x:v>ups_specs</x:v>
      </x:c>
      <x:c r="B18" s="19" t="str">
        <x:v>equipment_models</x:v>
      </x:c>
      <x:c r="C18" s="19" t="str">
        <x:v>model_id -&gt; equipment_models.id</x:v>
      </x:c>
      <x:c r="D18" s="19" t="str">
        <x:v>1:1</x:v>
      </x:c>
      <x:c r="E18" s="19" t="str">
        <x:v>UPS attributes</x:v>
      </x:c>
    </x:row>
    <x:row r="19">
      <x:c r="A19" s="19" t="str">
        <x:v>battery_specs</x:v>
      </x:c>
      <x:c r="B19" s="19" t="str">
        <x:v>equipment_models</x:v>
      </x:c>
      <x:c r="C19" s="19" t="str">
        <x:v>model_id -&gt; equipment_models.id</x:v>
      </x:c>
      <x:c r="D19" s="19" t="str">
        <x:v>1:1</x:v>
      </x:c>
      <x:c r="E19" s="19" t="str">
        <x:v>Battery attributes</x:v>
      </x:c>
    </x:row>
    <x:row r="20">
      <x:c r="A20" s="19" t="str">
        <x:v>projector_specs</x:v>
      </x:c>
      <x:c r="B20" s="19" t="str">
        <x:v>equipment_models</x:v>
      </x:c>
      <x:c r="C20" s="19" t="str">
        <x:v>model_id -&gt; equipment_models.id</x:v>
      </x:c>
      <x:c r="D20" s="19" t="str">
        <x:v>1:1</x:v>
      </x:c>
      <x:c r="E20" s="19" t="str">
        <x:v>Projector attributes</x:v>
      </x:c>
    </x:row>
    <x:row r="21">
      <x:c r="A21" s="19" t="str">
        <x:v>interactive_panel_specs</x:v>
      </x:c>
      <x:c r="B21" s="19" t="str">
        <x:v>equipment_models</x:v>
      </x:c>
      <x:c r="C21" s="19" t="str">
        <x:v>model_id -&gt; equipment_models.id</x:v>
      </x:c>
      <x:c r="D21" s="19" t="str">
        <x:v>1:1</x:v>
      </x:c>
      <x:c r="E21" s="19" t="str">
        <x:v>Panel attributes</x:v>
      </x:c>
    </x:row>
    <x:row r="22">
      <x:c r="A22" s="19" t="str">
        <x:v>bookings</x:v>
      </x:c>
      <x:c r="B22" s="19" t="str">
        <x:v>profiles</x:v>
      </x:c>
      <x:c r="C22" s="19" t="str">
        <x:v>user_id -&gt; profiles.id</x:v>
      </x:c>
      <x:c r="D22" s="19" t="str">
        <x:v>N:1</x:v>
      </x:c>
      <x:c r="E22" s="19" t="str">
        <x:v>Booking owner</x:v>
      </x:c>
    </x:row>
    <x:row r="23">
      <x:c r="A23" s="19" t="str">
        <x:v>bookings</x:v>
      </x:c>
      <x:c r="B23" s="19" t="str">
        <x:v>labs</x:v>
      </x:c>
      <x:c r="C23" s="19" t="str">
        <x:v>lab_id -&gt; labs.id</x:v>
      </x:c>
      <x:c r="D23" s="19" t="str">
        <x:v>N:1</x:v>
      </x:c>
      <x:c r="E23" s="19" t="str">
        <x:v>Requested lab</x:v>
      </x:c>
    </x:row>
    <x:row r="24">
      <x:c r="A24" s="19" t="str">
        <x:v>bookings</x:v>
      </x:c>
      <x:c r="B24" s="19" t="str">
        <x:v>resources</x:v>
      </x:c>
      <x:c r="C24" s="19" t="str">
        <x:v>resource_id -&gt; resources.id</x:v>
      </x:c>
      <x:c r="D24" s="19" t="str">
        <x:v>N:1</x:v>
      </x:c>
      <x:c r="E24" s="19" t="str">
        <x:v>Allocated inventory unit</x:v>
      </x:c>
    </x:row>
    <x:row r="25">
      <x:c r="A25" s="19" t="str">
        <x:v>scheduling_decisions</x:v>
      </x:c>
      <x:c r="B25" s="19" t="str">
        <x:v>bookings</x:v>
      </x:c>
      <x:c r="C25" s="19" t="str">
        <x:v>booking_id -&gt; bookings.id</x:v>
      </x:c>
      <x:c r="D25" s="19" t="str">
        <x:v>N:1</x:v>
      </x:c>
      <x:c r="E25" s="19" t="str">
        <x:v>Scheduler output</x:v>
      </x:c>
    </x:row>
    <x:row r="26">
      <x:c r="A26" s="19" t="str">
        <x:v>routes</x:v>
      </x:c>
      <x:c r="B26" s="19" t="str">
        <x:v>bookings</x:v>
      </x:c>
      <x:c r="C26" s="19" t="str">
        <x:v>booking_id -&gt; bookings.id</x:v>
      </x:c>
      <x:c r="D26" s="19" t="str">
        <x:v>N:1</x:v>
      </x:c>
      <x:c r="E26" s="19" t="str">
        <x:v>Route for booking</x:v>
      </x:c>
    </x:row>
    <x:row r="27">
      <x:c r="A27" s="19" t="str">
        <x:v>audit_log</x:v>
      </x:c>
      <x:c r="B27" s="19" t="str">
        <x:v>profiles</x:v>
      </x:c>
      <x:c r="C27" s="19" t="str">
        <x:v>actor_id -&gt; profiles.id</x:v>
      </x:c>
      <x:c r="D27" s="19" t="str">
        <x:v>N:1</x:v>
      </x:c>
      <x:c r="E27" s="19" t="str">
        <x:v>Audit actor</x:v>
      </x:c>
    </x:row>
  </x:sheetData>
  <x:mergeCells>
    <x:mergeCell ref="A1:E1"/>
  </x:mergeCells>
  <x:pageMargins left="0.7" right="0.7" top="0.75" bottom="0.75" header="0.3" footer="0.3"/>
  <x:tableParts count="1">
    <x:tablePart xmlns:r="http://schemas.openxmlformats.org/officeDocument/2006/relationships" r:id="R91654d1085024fbb"/>
  </x:tableParts>
</x:worksheet>
</file>

<file path=xl/worksheets/sheet27.xml><?xml version="1.0" encoding="utf-8"?>
<x:worksheet xmlns:x="http://schemas.openxmlformats.org/spreadsheetml/2006/main">
  <x:sheetFormatPr defaultRowHeight="15"/>
  <x:cols>
    <x:col min="1" max="1" width="48" hidden="0" customWidth="1"/>
    <x:col min="2" max="2" width="48" hidden="0" customWidth="1"/>
    <x:col min="3" max="3" width="34" hidden="0" customWidth="1"/>
    <x:col min="4" max="4" width="22" hidden="0" customWidth="1"/>
    <x:col min="5" max="5" width="45" hidden="0" customWidth="1"/>
    <x:col min="6" max="6" width="16" hidden="0" customWidth="1"/>
  </x:cols>
  <x:sheetData>
    <x:row r="1">
      <x:c r="A1" s="5" t="str">
        <x:v>Normalization of the Uploaded Dead-Stock Data — UNF to 3NF</x:v>
      </x:c>
    </x:row>
    <x:row r="3">
      <x:c r="A3" s="13" t="str">
        <x:v>Stage</x:v>
      </x:c>
      <x:c r="B3" s="13" t="str">
        <x:v>What changes</x:v>
      </x:c>
      <x:c r="C3" s="13" t="str">
        <x:v>Example before</x:v>
      </x:c>
      <x:c r="D3" s="13" t="str">
        <x:v>Resulting tables / rule</x:v>
      </x:c>
      <x:c r="E3" s="13" t="str">
        <x:v>Why</x:v>
      </x:c>
      <x:c r="F3" s="13" t="str">
        <x:v>Status</x:v>
      </x:c>
    </x:row>
    <x:row r="4">
      <x:c r="A4" s="19" t="str">
        <x:v>UNF / Source</x:v>
      </x:c>
      <x:c r="B4" s="19" t="str">
        <x:v>One register row mixes lab, supplier, purchase, model/specs, quantity, serial numbers, transfer and write-off information.</x:v>
      </x:c>
      <x:c r="C4" s="19" t="str">
        <x:v>D-xx + Lab Name + Description + Supplier Name/Address + Date/Reference + serial list + transfer/writeoff</x:v>
      </x:c>
      <x:c r="D4" s="19" t="str">
        <x:v>Raw_Inventory staging only</x:v>
      </x:c>
      <x:c r="E4" s="19" t="str">
        <x:v>Good for traceability, bad for application queries because facts repeat and descriptions are multi-valued.</x:v>
      </x:c>
      <x:c r="F4" s="19" t="str">
        <x:v>Source retained</x:v>
      </x:c>
    </x:row>
    <x:row r="5">
      <x:c r="A5" s="19" t="str">
        <x:v>1NF</x:v>
      </x:c>
      <x:c r="B5" s="19" t="str">
        <x:v>Make values atomic and identify each row with a key. Split purchase date from reference; parse quantities/cost; move serial numbers to atomic rows; extract category attributes.</x:v>
      </x:c>
      <x:c r="C5" s="19" t="str">
        <x:v>Supplier address and date/reference no longer share one field; each serial number is one row.</x:v>
      </x:c>
      <x:c r="D5" s="19" t="str">
        <x:v>Raw_Inventory + Extracted_Serials + category sheets</x:v>
      </x:c>
      <x:c r="E5" s="19" t="str">
        <x:v>Removes repeating/multi-value groups and makes filtering/import practical.</x:v>
      </x:c>
      <x:c r="F5" s="19" t="str">
        <x:v>Achieved</x:v>
      </x:c>
    </x:row>
    <x:row r="6">
      <x:c r="A6" s="19" t="str">
        <x:v>2NF</x:v>
      </x:c>
      <x:c r="B6" s="19" t="str">
        <x:v>Introduce surrogate keys and separate facts that belong to different entities.</x:v>
      </x:c>
      <x:c r="C6" s="19" t="str">
        <x:v>Lab name/investment do not belong to a purchase batch; supplier address does not belong to every equipment row.</x:v>
      </x:c>
      <x:c r="D6" s="19" t="str">
        <x:v>Lab_Master, Suppliers, Categories, Equipment_Models, Purchase_Batches</x:v>
      </x:c>
      <x:c r="E6" s="19" t="str">
        <x:v>Every non-key attribute depends on its whole table key, not only part of a composite source key.</x:v>
      </x:c>
      <x:c r="F6" s="19" t="str">
        <x:v>Achieved</x:v>
      </x:c>
    </x:row>
    <x:row r="7">
      <x:c r="A7" s="19" t="str">
        <x:v>3NF</x:v>
      </x:c>
      <x:c r="B7" s="19" t="str">
        <x:v>Remove transitive dependencies between non-key attributes.</x:v>
      </x:c>
      <x:c r="C7" s="19" t="str">
        <x:v>purchase_batch stores supplier_id, not supplier_name/address/GSTIN; stores model_id, not repeated brand/category/specs; resources store lab_id, not lab_name.</x:v>
      </x:c>
      <x:c r="D7" s="19" t="str">
        <x:v>Purchase_Batches -&gt; Suppliers/Labs/Equipment_Models; Equipment_Models -&gt; Categories + one category-specific spec table; Bookings -&gt; Resources.</x:v>
      </x:c>
      <x:c r="E7" s="19" t="str">
        <x:v>No non-key column determines another non-key column inside the same table. Updates happen in one place.</x:v>
      </x:c>
      <x:c r="F7" s="19" t="str">
        <x:v>Final design</x:v>
      </x:c>
    </x:row>
    <x:row r="10">
      <x:c r="A10" s="13" t="str">
        <x:v>Functional Dependency</x:v>
      </x:c>
      <x:c r="B10" s="13" t="str">
        <x:v>3NF Interpretation</x:v>
      </x:c>
      <x:c r="C10" s="13" t="str">
        <x:v>Stored In</x:v>
      </x:c>
      <x:c r="D10" s="13" t="str">
        <x:v>Key</x:v>
      </x:c>
    </x:row>
    <x:row r="11">
      <x:c r="A11" s="19" t="str">
        <x:v>lab_id → lab_code, lab_name, investment</x:v>
      </x:c>
      <x:c r="B11" s="19" t="str">
        <x:v>Lab details exist once.</x:v>
      </x:c>
      <x:c r="C11" s="19" t="str">
        <x:v>labs / Lab_Master</x:v>
      </x:c>
      <x:c r="D11" s="19" t="str">
        <x:v>lab_id (PK)</x:v>
      </x:c>
    </x:row>
    <x:row r="12">
      <x:c r="A12" s="19" t="str">
        <x:v>supplier_id → supplier_name, address, gstin</x:v>
      </x:c>
      <x:c r="B12" s="19" t="str">
        <x:v>Supplier details exist once.</x:v>
      </x:c>
      <x:c r="C12" s="19" t="str">
        <x:v>suppliers</x:v>
      </x:c>
      <x:c r="D12" s="19" t="str">
        <x:v>supplier_id (PK)</x:v>
      </x:c>
    </x:row>
    <x:row r="13">
      <x:c r="A13" s="19" t="str">
        <x:v>category_id → category_name</x:v>
      </x:c>
      <x:c r="B13" s="19" t="str">
        <x:v>Category name is not repeated as a fact in purchase rows.</x:v>
      </x:c>
      <x:c r="C13" s="19" t="str">
        <x:v>equipment_categories</x:v>
      </x:c>
      <x:c r="D13" s="19" t="str">
        <x:v>category_id (PK)</x:v>
      </x:c>
    </x:row>
    <x:row r="14">
      <x:c r="A14" s="19" t="str">
        <x:v>model_id → category_id, brand, model_name, category specs</x:v>
      </x:c>
      <x:c r="B14" s="19" t="str">
        <x:v>Model/configuration facts are separated from acquisition facts.</x:v>
      </x:c>
      <x:c r="C14" s="19" t="str">
        <x:v>equipment_models + *_specs</x:v>
      </x:c>
      <x:c r="D14" s="19" t="str">
        <x:v>model_id (PK/FK)</x:v>
      </x:c>
    </x:row>
    <x:row r="15">
      <x:c r="A15" s="19" t="str">
        <x:v>batch_id → acquisition_lab_id, model_id, supplier_id, purchase data, quantities, costs</x:v>
      </x:c>
      <x:c r="B15" s="19" t="str">
        <x:v>One acquisition/dead-stock batch is one fact.</x:v>
      </x:c>
      <x:c r="C15" s="19" t="str">
        <x:v>purchase_batches</x:v>
      </x:c>
      <x:c r="D15" s="19" t="str">
        <x:v>batch_id (PK)</x:v>
      </x:c>
    </x:row>
    <x:row r="16">
      <x:c r="A16" s="19" t="str">
        <x:v>resource_id → batch_id, current lab, serial_no, state</x:v>
      </x:c>
      <x:c r="B16" s="19" t="str">
        <x:v>One bookable physical unit/resource has one operational state.</x:v>
      </x:c>
      <x:c r="C16" s="19" t="str">
        <x:v>resources</x:v>
      </x:c>
      <x:c r="D16" s="19" t="str">
        <x:v>resource_id (PK)</x:v>
      </x:c>
    </x:row>
    <x:row r="17">
      <x:c r="A17" s="19" t="str">
        <x:v>booking_id → user_id, lab_id, resource_id, state, times</x:v>
      </x:c>
      <x:c r="B17" s="19" t="str">
        <x:v>Booking facts depend only on booking id.</x:v>
      </x:c>
      <x:c r="C17" s="19" t="str">
        <x:v>bookings</x:v>
      </x:c>
      <x:c r="D17" s="19" t="str">
        <x:v>booking_id (PK)</x:v>
      </x:c>
    </x:row>
  </x:sheetData>
  <x:mergeCells>
    <x:mergeCell ref="A1:H1"/>
  </x:mergeCells>
  <x:pageMargins left="0.7" right="0.7" top="0.75" bottom="0.75" header="0.3" footer="0.3"/>
</x:worksheet>
</file>

<file path=xl/worksheets/sheet28.xml><?xml version="1.0" encoding="utf-8"?>
<x:worksheet xmlns:x="http://schemas.openxmlformats.org/spreadsheetml/2006/main">
  <x:sheetFormatPr defaultRowHeight="15"/>
  <x:cols>
    <x:col min="1" max="1" width="26" hidden="0" customWidth="1"/>
    <x:col min="2" max="2" width="95" hidden="0" customWidth="1"/>
  </x:cols>
  <x:sheetData>
    <x:row r="1">
      <x:c r="A1" s="5" t="str">
        <x:v>How the Processed Inventory Fits the Existing Supabase Architecture</x:v>
      </x:c>
    </x:row>
    <x:row r="3">
      <x:c r="A3" s="18" t="str">
        <x:v>Layer</x:v>
      </x:c>
      <x:c r="B3" s="18" t="str">
        <x:v>Responsibility</x:v>
      </x:c>
    </x:row>
    <x:row r="4">
      <x:c r="A4" s="19" t="str">
        <x:v>React Frontend</x:v>
      </x:c>
      <x:c r="B4" s="19" t="str">
        <x:v>Direct Supabase access only for Auth and Realtime; normal reads/writes use Express backend.</x:v>
      </x:c>
    </x:row>
    <x:row r="5">
      <x:c r="A5" s="19" t="str">
        <x:v>Supabase Auth</x:v>
      </x:c>
      <x:c r="B5" s="19" t="str">
        <x:v>Authenticates student/faculty/lab_admin and issues JWT.</x:v>
      </x:c>
    </x:row>
    <x:row r="6">
      <x:c r="A6" s="19" t="str">
        <x:v>Express Backend</x:v>
      </x:c>
      <x:c r="B6" s="19" t="str">
        <x:v>Single application boundary for DB reads/writes and business rules.</x:v>
      </x:c>
    </x:row>
    <x:row r="7">
      <x:c r="A7" s="19" t="str">
        <x:v>Team A Scheduler</x:v>
      </x:c>
      <x:c r="B7" s="19" t="str">
        <x:v>Pure scheduling logic; receives booking/resource data, returns allocation decision.</x:v>
      </x:c>
    </x:row>
    <x:row r="8">
      <x:c r="A8" s="19" t="str">
        <x:v>Team B Routing</x:v>
      </x:c>
      <x:c r="B8" s="19" t="str">
        <x:v>Pure graph logic over campus_nodes/campus_edges; returns route.</x:v>
      </x:c>
    </x:row>
    <x:row r="9">
      <x:c r="A9" s="19" t="str">
        <x:v>Team C Persistence</x:v>
      </x:c>
      <x:c r="B9" s="19" t="str">
        <x:v>Owns Supabase service-role client, transactions, inventory persistence and booking persistence.</x:v>
      </x:c>
    </x:row>
    <x:row r="10">
      <x:c r="A10" s="19" t="str">
        <x:v>Operational tables</x:v>
      </x:c>
      <x:c r="B10" s="19" t="str">
        <x:v>profiles, labs, resources, bookings, scheduling_decisions, routes, audit_log.</x:v>
      </x:c>
    </x:row>
    <x:row r="11">
      <x:c r="A11" s="19" t="str">
        <x:v>Inventory 3NF tables</x:v>
      </x:c>
      <x:c r="B11" s="19" t="str">
        <x:v>equipment_categories, suppliers, equipment_models, purchase_batches, asset_events, category-specific spec tables.</x:v>
      </x:c>
    </x:row>
    <x:row r="12">
      <x:c r="A12" s="19" t="str">
        <x:v>Connection point</x:v>
      </x:c>
      <x:c r="B12" s="19" t="str">
        <x:v>resources.batch_id links a bookable resource to the real dead-stock/purchase record.</x:v>
      </x:c>
    </x:row>
  </x:sheetData>
  <x:mergeCells>
    <x:mergeCell ref="A1:H1"/>
  </x:mergeCells>
  <x:pageMargins left="0.7" right="0.7" top="0.75" bottom="0.75" header="0.3" footer="0.3"/>
</x:worksheet>
</file>